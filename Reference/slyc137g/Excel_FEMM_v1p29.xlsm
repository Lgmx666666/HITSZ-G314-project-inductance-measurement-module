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7" codeName="{3D1A710C-6663-3D7B-7F91-EC182F24A4BC}"/>
  <workbookPr showInkAnnotation="0" codeName="ThisWorkbook"/>
  <mc:AlternateContent xmlns:mc="http://schemas.openxmlformats.org/markup-compatibility/2006">
    <mc:Choice Requires="x15">
      <x15ac:absPath xmlns:x15ac="http://schemas.microsoft.com/office/spreadsheetml/2010/11/ac" url="C:\Users\a0234224\Documents\CSPS\LDC_Tool_Spreadsheet_calculators\"/>
    </mc:Choice>
  </mc:AlternateContent>
  <xr:revisionPtr revIDLastSave="0" documentId="13_ncr:1_{8F0F0A07-600E-42E9-B4FC-781091E5ED62}" xr6:coauthVersionLast="36" xr6:coauthVersionMax="36" xr10:uidLastSave="{00000000-0000-0000-0000-000000000000}"/>
  <bookViews>
    <workbookView xWindow="0" yWindow="0" windowWidth="11340" windowHeight="5445" xr2:uid="{00000000-000D-0000-FFFF-FFFF00000000}"/>
  </bookViews>
  <sheets>
    <sheet name="Spiral_Inductor_Designer" sheetId="2" r:id="rId1"/>
    <sheet name="Sheet1" sheetId="3" r:id="rId2"/>
  </sheets>
  <functionGroups builtInGroupCount="19"/>
  <definedNames>
    <definedName name="ac">#REF!</definedName>
    <definedName name="alphac">#REF!</definedName>
    <definedName name="alphar">#REF!</definedName>
    <definedName name="ar">#REF!</definedName>
    <definedName name="area">#REF!</definedName>
    <definedName name="boa">#REF!</definedName>
    <definedName name="br">#REF!</definedName>
    <definedName name="button_materials">#REF!</definedName>
    <definedName name="button_shapes">#REF!</definedName>
    <definedName name="CMAX">#REF!</definedName>
    <definedName name="CMIN">#REF!</definedName>
    <definedName name="E">#REF!</definedName>
    <definedName name="force_functions">#REF!</definedName>
    <definedName name="h">#REF!</definedName>
    <definedName name="Mega" localSheetId="0">#REF!</definedName>
    <definedName name="Mega">#REF!</definedName>
    <definedName name="micro">#REF!</definedName>
    <definedName name="N">#REF!</definedName>
    <definedName name="nu">#REF!</definedName>
    <definedName name="pico" localSheetId="0">#REF!</definedName>
    <definedName name="pico">#REF!</definedName>
    <definedName name="solver_adj" localSheetId="0" hidden="1">Spiral_Inductor_Designer!$D$24</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Spiral_Inductor_Designer!$D$204</definedName>
    <definedName name="solver_pre" localSheetId="0" hidden="1">0.000001</definedName>
    <definedName name="solver_rbv" localSheetId="0" hidden="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9" i="2" l="1"/>
  <c r="D238" i="2"/>
  <c r="D237" i="2"/>
  <c r="D236" i="2"/>
  <c r="D235" i="2"/>
  <c r="D234" i="2"/>
  <c r="E8" i="3" l="1"/>
  <c r="E9" i="3" s="1"/>
  <c r="C38" i="3"/>
  <c r="C39" i="3" s="1"/>
  <c r="C40" i="3" s="1"/>
  <c r="C32" i="3"/>
  <c r="C33" i="3" s="1"/>
  <c r="C34" i="3" s="1"/>
  <c r="D267" i="2" l="1"/>
  <c r="D266" i="2"/>
  <c r="D265" i="2"/>
  <c r="D264" i="2"/>
  <c r="D258" i="2"/>
  <c r="D250" i="2"/>
  <c r="C305" i="2"/>
  <c r="C304" i="2"/>
  <c r="D303" i="2"/>
  <c r="C303" i="2"/>
  <c r="D302" i="2"/>
  <c r="B302" i="2"/>
  <c r="D297" i="2"/>
  <c r="C297" i="2"/>
  <c r="B296" i="2"/>
  <c r="D296" i="2" s="1"/>
  <c r="B295" i="2"/>
  <c r="D295" i="2" s="1"/>
  <c r="E246" i="2" l="1"/>
  <c r="C246" i="2"/>
  <c r="B246" i="2"/>
  <c r="C223" i="2"/>
  <c r="D223" i="2" s="1"/>
  <c r="D224" i="2" s="1"/>
  <c r="D74" i="2"/>
  <c r="D72" i="2"/>
  <c r="D91" i="2" s="1"/>
  <c r="D71" i="2"/>
  <c r="D63" i="2"/>
  <c r="C58" i="2"/>
  <c r="D58" i="2" s="1"/>
  <c r="D53" i="2"/>
  <c r="D263" i="2" s="1"/>
  <c r="C47" i="2"/>
  <c r="D47" i="2" s="1"/>
  <c r="D48" i="2" s="1"/>
  <c r="D262" i="2" s="1"/>
  <c r="E40" i="2"/>
  <c r="C37" i="2"/>
  <c r="D37" i="2" s="1"/>
  <c r="D38" i="2" s="1"/>
  <c r="D260" i="2" s="1"/>
  <c r="C34" i="2"/>
  <c r="D34" i="2" s="1"/>
  <c r="D35" i="2" s="1"/>
  <c r="D261" i="2" s="1"/>
  <c r="F29" i="2"/>
  <c r="E29" i="2"/>
  <c r="D30" i="2" s="1"/>
  <c r="D270" i="2" s="1"/>
  <c r="C26" i="2"/>
  <c r="D26" i="2" s="1"/>
  <c r="D27" i="2" s="1"/>
  <c r="D259" i="2" s="1"/>
  <c r="B25" i="2"/>
  <c r="D31" i="2" l="1"/>
  <c r="D32" i="2" s="1"/>
  <c r="D84" i="2"/>
  <c r="D82" i="2" s="1"/>
  <c r="D251" i="2"/>
  <c r="D225" i="2"/>
  <c r="D226" i="2" s="1"/>
  <c r="D227" i="2" s="1"/>
  <c r="D75" i="2"/>
  <c r="D83" i="2" s="1"/>
  <c r="D57" i="2"/>
  <c r="D269" i="2" s="1"/>
  <c r="D64" i="2"/>
  <c r="E41" i="2"/>
  <c r="D76" i="2"/>
  <c r="D54" i="2" l="1"/>
  <c r="D198" i="2"/>
  <c r="D199" i="2" s="1"/>
  <c r="D99" i="2"/>
  <c r="D137" i="2"/>
  <c r="D85" i="2"/>
  <c r="D252" i="2"/>
  <c r="D55" i="2"/>
  <c r="D136" i="2"/>
  <c r="D56" i="2"/>
  <c r="E42" i="2"/>
  <c r="D65" i="2"/>
  <c r="D129" i="2"/>
  <c r="D128" i="2"/>
  <c r="D59" i="2"/>
  <c r="D81" i="2" l="1"/>
  <c r="D106" i="2"/>
  <c r="D130" i="2"/>
  <c r="D138" i="2"/>
  <c r="D100" i="2"/>
  <c r="D86" i="2"/>
  <c r="D101" i="2" s="1"/>
  <c r="D253" i="2"/>
  <c r="D60" i="2"/>
  <c r="D73" i="2" s="1"/>
  <c r="D66" i="2"/>
  <c r="E43" i="2"/>
  <c r="D139" i="2" l="1"/>
  <c r="D107" i="2"/>
  <c r="D80" i="2"/>
  <c r="D112" i="2"/>
  <c r="D147" i="2"/>
  <c r="D108" i="2"/>
  <c r="D131" i="2"/>
  <c r="D146" i="2"/>
  <c r="D144" i="2"/>
  <c r="D145" i="2"/>
  <c r="D87" i="2"/>
  <c r="D102" i="2" s="1"/>
  <c r="D254" i="2"/>
  <c r="E44" i="2"/>
  <c r="D67" i="2"/>
  <c r="D140" i="2" l="1"/>
  <c r="D113" i="2"/>
  <c r="D148" i="2"/>
  <c r="D79" i="2"/>
  <c r="D117" i="2"/>
  <c r="D132" i="2"/>
  <c r="D153" i="2"/>
  <c r="D155" i="2"/>
  <c r="D156" i="2"/>
  <c r="D152" i="2"/>
  <c r="D154" i="2"/>
  <c r="D88" i="2"/>
  <c r="D255" i="2"/>
  <c r="D68" i="2"/>
  <c r="E45" i="2"/>
  <c r="D69" i="2" s="1"/>
  <c r="D118" i="2" l="1"/>
  <c r="D103" i="2"/>
  <c r="D157" i="2"/>
  <c r="D78" i="2"/>
  <c r="D121" i="2"/>
  <c r="D141" i="2"/>
  <c r="D149" i="2"/>
  <c r="D160" i="2"/>
  <c r="D164" i="2"/>
  <c r="D165" i="2"/>
  <c r="D162" i="2"/>
  <c r="D163" i="2"/>
  <c r="D161" i="2"/>
  <c r="D133" i="2"/>
  <c r="D114" i="2"/>
  <c r="D109" i="2"/>
  <c r="D90" i="2"/>
  <c r="D126" i="2" s="1"/>
  <c r="D257" i="2"/>
  <c r="D89" i="2"/>
  <c r="D105" i="2" s="1"/>
  <c r="D256" i="2"/>
  <c r="D111" i="2" l="1"/>
  <c r="D158" i="2"/>
  <c r="D135" i="2"/>
  <c r="D122" i="2"/>
  <c r="D77" i="2"/>
  <c r="D124" i="2"/>
  <c r="D125" i="2"/>
  <c r="D166" i="2"/>
  <c r="D167" i="2"/>
  <c r="D104" i="2"/>
  <c r="D171" i="2"/>
  <c r="D172" i="2"/>
  <c r="D173" i="2"/>
  <c r="D168" i="2"/>
  <c r="D174" i="2"/>
  <c r="D175" i="2"/>
  <c r="D169" i="2"/>
  <c r="D170" i="2"/>
  <c r="D115" i="2"/>
  <c r="D134" i="2"/>
  <c r="D120" i="2"/>
  <c r="D110" i="2"/>
  <c r="D123" i="2"/>
  <c r="D119" i="2"/>
  <c r="D159" i="2"/>
  <c r="D143" i="2"/>
  <c r="D116" i="2"/>
  <c r="D142" i="2"/>
  <c r="D151" i="2"/>
  <c r="D150" i="2"/>
  <c r="D92" i="2" l="1"/>
  <c r="D93" i="2" s="1"/>
  <c r="D94" i="2" s="1"/>
  <c r="D195" i="2" s="1"/>
  <c r="F195" i="2" s="1"/>
  <c r="D178" i="2"/>
  <c r="D177" i="2"/>
  <c r="D183" i="2"/>
  <c r="D187" i="2"/>
  <c r="D190" i="2"/>
  <c r="D189" i="2"/>
  <c r="D180" i="2"/>
  <c r="D179" i="2"/>
  <c r="D176" i="2"/>
  <c r="D188" i="2"/>
  <c r="D182" i="2"/>
  <c r="D181" i="2"/>
  <c r="D184" i="2"/>
  <c r="D185" i="2"/>
  <c r="D186" i="2"/>
  <c r="D196" i="2" l="1"/>
  <c r="E197" i="2" s="1"/>
  <c r="D192" i="2"/>
  <c r="D207" i="2"/>
  <c r="D95" i="2"/>
  <c r="D96" i="2" s="1"/>
  <c r="D97" i="2" s="1"/>
  <c r="D193" i="2" s="1"/>
  <c r="D230" i="2" s="1"/>
  <c r="D240" i="2" s="1"/>
  <c r="D241" i="2" s="1"/>
  <c r="D268" i="2" s="1"/>
  <c r="D231" i="2" l="1"/>
  <c r="D232" i="2" s="1"/>
  <c r="D233" i="2" s="1"/>
  <c r="D242" i="2" s="1"/>
  <c r="F242" i="2" s="1"/>
  <c r="D197" i="2"/>
  <c r="F197" i="2" s="1"/>
  <c r="D200" i="2"/>
  <c r="D201" i="2" s="1"/>
  <c r="D204" i="2" s="1"/>
  <c r="F241" i="2"/>
  <c r="D243" i="2" l="1"/>
  <c r="D244" i="2" s="1"/>
  <c r="D202" i="2"/>
  <c r="D203" i="2" s="1"/>
  <c r="F243" i="2" l="1"/>
  <c r="D245" i="2"/>
  <c r="D246" i="2" s="1"/>
</calcChain>
</file>

<file path=xl/sharedStrings.xml><?xml version="1.0" encoding="utf-8"?>
<sst xmlns="http://schemas.openxmlformats.org/spreadsheetml/2006/main" count="440" uniqueCount="355">
  <si>
    <t>LC Sensor calculations</t>
  </si>
  <si>
    <t>LDC Device</t>
  </si>
  <si>
    <t>LDC1612/4</t>
  </si>
  <si>
    <t>Operating temperature</t>
  </si>
  <si>
    <t>T</t>
  </si>
  <si>
    <r>
      <rPr>
        <sz val="12"/>
        <color indexed="8"/>
        <rFont val="Calibri"/>
        <family val="2"/>
      </rPr>
      <t>°</t>
    </r>
    <r>
      <rPr>
        <sz val="12"/>
        <color indexed="8"/>
        <rFont val="Calibri"/>
        <family val="2"/>
      </rPr>
      <t>C</t>
    </r>
  </si>
  <si>
    <t>Enter operating temperature</t>
  </si>
  <si>
    <t>Sensor capacitance</t>
  </si>
  <si>
    <t>C</t>
  </si>
  <si>
    <t>pF</t>
  </si>
  <si>
    <t>Select LC tank capacitance</t>
  </si>
  <si>
    <t>Layers</t>
  </si>
  <si>
    <t>M</t>
  </si>
  <si>
    <r>
      <t>Number of layers on PCB board (1≤M</t>
    </r>
    <r>
      <rPr>
        <sz val="12"/>
        <color indexed="8"/>
        <rFont val="Calibri"/>
        <family val="2"/>
      </rPr>
      <t>≤</t>
    </r>
    <r>
      <rPr>
        <sz val="12"/>
        <color indexed="8"/>
        <rFont val="Calibri"/>
        <family val="2"/>
      </rPr>
      <t>8)</t>
    </r>
  </si>
  <si>
    <t>Turns (per layer)</t>
  </si>
  <si>
    <t>N</t>
  </si>
  <si>
    <t>Turns</t>
  </si>
  <si>
    <t>Number of turns per layer</t>
  </si>
  <si>
    <r>
      <t>d</t>
    </r>
    <r>
      <rPr>
        <vertAlign val="subscript"/>
        <sz val="11"/>
        <color indexed="8"/>
        <rFont val="Calibri"/>
        <family val="2"/>
      </rPr>
      <t>OUT</t>
    </r>
  </si>
  <si>
    <t>mm</t>
  </si>
  <si>
    <t>Outer Diameter of the spiral inductor</t>
  </si>
  <si>
    <t>diameter entered units</t>
  </si>
  <si>
    <t>Outer diameter of inductor in mm</t>
  </si>
  <si>
    <t>Sensor Shape</t>
  </si>
  <si>
    <t xml:space="preserve">Long side of inductor </t>
  </si>
  <si>
    <r>
      <t>d</t>
    </r>
    <r>
      <rPr>
        <vertAlign val="subscript"/>
        <sz val="11"/>
        <color indexed="8"/>
        <rFont val="Calibri"/>
        <family val="2"/>
      </rPr>
      <t>L</t>
    </r>
  </si>
  <si>
    <t>Long side of inductor in mm</t>
  </si>
  <si>
    <t>ratio of long side to short side</t>
  </si>
  <si>
    <t>ratio of area to unit circle</t>
  </si>
  <si>
    <t>spacing between traces</t>
  </si>
  <si>
    <t>S</t>
  </si>
  <si>
    <t>mil</t>
  </si>
  <si>
    <t>Space between traces (mm or mil)</t>
  </si>
  <si>
    <t>spacing units</t>
  </si>
  <si>
    <t>spacing in mm</t>
  </si>
  <si>
    <t>width of trace</t>
  </si>
  <si>
    <t>w</t>
  </si>
  <si>
    <t>Width of the trace  (mm or mil)</t>
  </si>
  <si>
    <t>trace width units</t>
  </si>
  <si>
    <t>trace width in mm</t>
  </si>
  <si>
    <t>PCB thickness between 1st layer and 2nd layer</t>
  </si>
  <si>
    <t>h12</t>
  </si>
  <si>
    <t>Space between layer 1 and 2  (mm or mil)</t>
  </si>
  <si>
    <t>PCB thickness between 2nd layer and 3rd layer</t>
  </si>
  <si>
    <t>h23</t>
  </si>
  <si>
    <t>Space between layer 2 and 3  (mm or mil)</t>
  </si>
  <si>
    <t>PCB thickness between 3rd layer and 4th layer</t>
  </si>
  <si>
    <t>h34</t>
  </si>
  <si>
    <t>Space between layer 3 and 4 (mm or mil)</t>
  </si>
  <si>
    <t>PCB thickness between 4th layer and 5th layer</t>
  </si>
  <si>
    <t>h45</t>
  </si>
  <si>
    <t>Space between layer 4 and 5  (mm or mil)</t>
  </si>
  <si>
    <t>PCB thickness between 5th layer and 6th layer</t>
  </si>
  <si>
    <t>h56</t>
  </si>
  <si>
    <t>Space between layer 5 and 6  (mm or mil)</t>
  </si>
  <si>
    <t>PCB thickness between 6th layer and 7th layer</t>
  </si>
  <si>
    <t>h67</t>
  </si>
  <si>
    <t>Space between layer 6 and 7  (mm or mil)</t>
  </si>
  <si>
    <t>PCB thickness between 7th layer and 8th layer</t>
  </si>
  <si>
    <t>h78</t>
  </si>
  <si>
    <t>Space between layer 7 and 8  (mm or mil)</t>
  </si>
  <si>
    <t>Copper thickness</t>
  </si>
  <si>
    <t>t</t>
  </si>
  <si>
    <t>oz-Cu</t>
  </si>
  <si>
    <t>Copper layer thickness  (mm,Oz-Cu, or mil)</t>
  </si>
  <si>
    <t>copper thickness units</t>
  </si>
  <si>
    <t>copper thickness in mm</t>
  </si>
  <si>
    <r>
      <t>Conductor Resistivity (at 20</t>
    </r>
    <r>
      <rPr>
        <sz val="9"/>
        <color indexed="8"/>
        <rFont val="Calibri"/>
        <family val="2"/>
      </rPr>
      <t>°C)</t>
    </r>
  </si>
  <si>
    <t>pr</t>
  </si>
  <si>
    <r>
      <rPr>
        <sz val="9"/>
        <color indexed="8"/>
        <rFont val="Calibri"/>
        <family val="2"/>
      </rPr>
      <t>Ωm</t>
    </r>
  </si>
  <si>
    <t>Use 1.68e-08 for Copper</t>
  </si>
  <si>
    <t>Conductor Resistivity temperature coef</t>
  </si>
  <si>
    <t>pr_tc</t>
  </si>
  <si>
    <r>
      <t>%/</t>
    </r>
    <r>
      <rPr>
        <sz val="9"/>
        <color indexed="8"/>
        <rFont val="Calibri"/>
        <family val="2"/>
      </rPr>
      <t>°C</t>
    </r>
  </si>
  <si>
    <t>Use 0.393 for Copper</t>
  </si>
  <si>
    <t>Conductor relative permeability</t>
  </si>
  <si>
    <r>
      <t>µ</t>
    </r>
    <r>
      <rPr>
        <vertAlign val="subscript"/>
        <sz val="9"/>
        <color indexed="8"/>
        <rFont val="Calibri"/>
        <family val="2"/>
      </rPr>
      <t>r</t>
    </r>
  </si>
  <si>
    <t>Use 1.0 for Copper</t>
  </si>
  <si>
    <t>Parasitic capacitance</t>
  </si>
  <si>
    <t>Cpar</t>
  </si>
  <si>
    <t>Estimate - generally in the rage of 1 to 5 pf</t>
  </si>
  <si>
    <t>Copper resistivity at operating temperature</t>
  </si>
  <si>
    <t xml:space="preserve">pr_t </t>
  </si>
  <si>
    <r>
      <rPr>
        <sz val="9"/>
        <color indexed="8"/>
        <rFont val="Calibri"/>
        <family val="2"/>
      </rPr>
      <t>Ω</t>
    </r>
    <r>
      <rPr>
        <sz val="9"/>
        <color indexed="8"/>
        <rFont val="Calibri"/>
        <family val="2"/>
      </rPr>
      <t>m</t>
    </r>
  </si>
  <si>
    <t>Coil Fill Ratio</t>
  </si>
  <si>
    <t>din/dout</t>
  </si>
  <si>
    <t>0.2&gt;  &gt;0.8 is recommended</t>
  </si>
  <si>
    <t>Average diameter</t>
  </si>
  <si>
    <t>davg</t>
  </si>
  <si>
    <t>Geometric mean diameter</t>
  </si>
  <si>
    <t>p</t>
  </si>
  <si>
    <t>Inductor inner diameter (mm)</t>
  </si>
  <si>
    <t>Inductor innder diameter desired units</t>
  </si>
  <si>
    <t>Inductor inner diameter</t>
  </si>
  <si>
    <t>din</t>
  </si>
  <si>
    <t>Inner diameter of the spiral inductor (mm or mil)</t>
  </si>
  <si>
    <t>Self inductance per layer</t>
  </si>
  <si>
    <t>L</t>
  </si>
  <si>
    <r>
      <rPr>
        <sz val="10"/>
        <color indexed="8"/>
        <rFont val="Calibri"/>
        <family val="2"/>
      </rPr>
      <t>µ</t>
    </r>
    <r>
      <rPr>
        <sz val="10"/>
        <color indexed="8"/>
        <rFont val="Calibri"/>
        <family val="2"/>
      </rPr>
      <t>H</t>
    </r>
  </si>
  <si>
    <t xml:space="preserve">PCB thickness L1-2 </t>
  </si>
  <si>
    <t xml:space="preserve">PCB thickness L2-3 </t>
  </si>
  <si>
    <t>PCB thickness L3-4</t>
  </si>
  <si>
    <t>PCB thickness L4-5</t>
  </si>
  <si>
    <t>PCB thickness L5-6</t>
  </si>
  <si>
    <t>PCB thickness L6-7</t>
  </si>
  <si>
    <t>PCB thickness L7-8</t>
  </si>
  <si>
    <t>Number of Turns</t>
  </si>
  <si>
    <t>Self-Inductance per layer</t>
  </si>
  <si>
    <t>µH</t>
  </si>
  <si>
    <t>Number of Layers</t>
  </si>
  <si>
    <t>Target distance</t>
  </si>
  <si>
    <t>distance i7-i8</t>
  </si>
  <si>
    <t>distance i6-i7</t>
  </si>
  <si>
    <t>distance i5-i6</t>
  </si>
  <si>
    <t>distance i4-i5</t>
  </si>
  <si>
    <t>distance i3-i4</t>
  </si>
  <si>
    <t>distance i2-i3</t>
  </si>
  <si>
    <t>distance i1-i2</t>
  </si>
  <si>
    <t>distance L1-i1</t>
  </si>
  <si>
    <t>PCB thickness L1-L2</t>
  </si>
  <si>
    <t>PCB thickness L2-L3</t>
  </si>
  <si>
    <t>PCB thickness L3-L4</t>
  </si>
  <si>
    <t>PCB thickness L4-L5</t>
  </si>
  <si>
    <t>PCB thickness L5-L6</t>
  </si>
  <si>
    <t>PCB thickness L6-L7</t>
  </si>
  <si>
    <t>PCB thickness L7-L8</t>
  </si>
  <si>
    <t>T Scaling</t>
  </si>
  <si>
    <t>Lmutual sum</t>
  </si>
  <si>
    <t>scale factor</t>
  </si>
  <si>
    <t>Total Inductance free-space</t>
  </si>
  <si>
    <t>Target Interaction sum</t>
  </si>
  <si>
    <t>TI scale</t>
  </si>
  <si>
    <t>Inductance with Target interaction</t>
  </si>
  <si>
    <t>Lmutual for 12</t>
  </si>
  <si>
    <t>Lmutual for 13</t>
  </si>
  <si>
    <t>Lmutual for 14</t>
  </si>
  <si>
    <t>Lmutual for 15</t>
  </si>
  <si>
    <t>Lmutual for 16</t>
  </si>
  <si>
    <t>Lmutual for 17</t>
  </si>
  <si>
    <t>Lmutual for 18</t>
  </si>
  <si>
    <t>Lmutual for 23</t>
  </si>
  <si>
    <t>Lmutual for 24</t>
  </si>
  <si>
    <t>Lmutual for 25</t>
  </si>
  <si>
    <t>Lmutual for 26</t>
  </si>
  <si>
    <t>Lmutual for 27</t>
  </si>
  <si>
    <t>Lmutual for 28</t>
  </si>
  <si>
    <t>Lmutual for 34</t>
  </si>
  <si>
    <t>Lmutual for 35</t>
  </si>
  <si>
    <t>Lmutual for 36</t>
  </si>
  <si>
    <t>Lmutual for 37</t>
  </si>
  <si>
    <t>Lmutual for 38</t>
  </si>
  <si>
    <t>Lmutual for 45</t>
  </si>
  <si>
    <t>Lmutual for 46</t>
  </si>
  <si>
    <t>Lmutual for 47</t>
  </si>
  <si>
    <t>Lmutual for 48</t>
  </si>
  <si>
    <t>Lmutual for 56</t>
  </si>
  <si>
    <t>Lmutual for 57</t>
  </si>
  <si>
    <t>Lmutual for 58</t>
  </si>
  <si>
    <t>Lmutual for 67</t>
  </si>
  <si>
    <t>Lmutual for 68</t>
  </si>
  <si>
    <t>Lmutual for 78</t>
  </si>
  <si>
    <t>Lmutual for i1-L1</t>
  </si>
  <si>
    <t>Lmutual for i1-L2</t>
  </si>
  <si>
    <t>Lmutual for i1-L3</t>
  </si>
  <si>
    <t>Lmutual for i1-L4</t>
  </si>
  <si>
    <t>Lmutual for i1-L5</t>
  </si>
  <si>
    <t>Lmutual for i1-L6</t>
  </si>
  <si>
    <t>Lmutual for i1-L7</t>
  </si>
  <si>
    <t>Lmutual for i1-L8</t>
  </si>
  <si>
    <t>Lmutual for i2-L1</t>
  </si>
  <si>
    <t>Lmutual for i2-L2</t>
  </si>
  <si>
    <t>Lmutual for i2-L3</t>
  </si>
  <si>
    <t>Lmutual for i2-L4</t>
  </si>
  <si>
    <t>Lmutual for i2-L5</t>
  </si>
  <si>
    <t>Lmutual for i2-L6</t>
  </si>
  <si>
    <t>Lmutual for i2-L7</t>
  </si>
  <si>
    <t>Lmutual for i2-L8</t>
  </si>
  <si>
    <t>Lmutual for i3-L1</t>
  </si>
  <si>
    <t>Lmutual for i3-L2</t>
  </si>
  <si>
    <t>Lmutual for i3-L3</t>
  </si>
  <si>
    <t>Lmutual for i3-L4</t>
  </si>
  <si>
    <t>Lmutual for i3-L5</t>
  </si>
  <si>
    <t>Lmutual for i3-L6</t>
  </si>
  <si>
    <t>Lmutual for i3-L7</t>
  </si>
  <si>
    <t>Lmutual for i3-L8</t>
  </si>
  <si>
    <t>Lmutual for i4-L1</t>
  </si>
  <si>
    <t>Lmutual for i4-L2</t>
  </si>
  <si>
    <t>Lmutual for i4-L3</t>
  </si>
  <si>
    <t>Lmutual for i4-L4</t>
  </si>
  <si>
    <t>Lmutual for i4-L5</t>
  </si>
  <si>
    <t>Lmutual for i4-L6</t>
  </si>
  <si>
    <t>Lmutual for i4-L7</t>
  </si>
  <si>
    <t>Lmutual for i4-L8</t>
  </si>
  <si>
    <t>Lmutual for i5-L1</t>
  </si>
  <si>
    <t>Lmutual for i5-L2</t>
  </si>
  <si>
    <t>Lmutual for i5-L3</t>
  </si>
  <si>
    <t>Lmutual for i5-L4</t>
  </si>
  <si>
    <t>Lmutual for i5-L5</t>
  </si>
  <si>
    <t>Lmutual for i5-L6</t>
  </si>
  <si>
    <t>Lmutual for i5-L7</t>
  </si>
  <si>
    <t>Lmutual for i5-L8</t>
  </si>
  <si>
    <t>Lmutual for i6-L1</t>
  </si>
  <si>
    <t>Lmutual for i6-L2</t>
  </si>
  <si>
    <t>Lmutual for i6-L3</t>
  </si>
  <si>
    <t>Lmutual for i6-L4</t>
  </si>
  <si>
    <t>Lmutual for i6-L5</t>
  </si>
  <si>
    <t>Lmutual for i6-L6</t>
  </si>
  <si>
    <t>Lmutual for i6-L7</t>
  </si>
  <si>
    <t>Lmutual for i6-L8</t>
  </si>
  <si>
    <t>Lmutual for i7-L1</t>
  </si>
  <si>
    <t>Lmutual for i7-L2</t>
  </si>
  <si>
    <t>Lmutual for i7-L3</t>
  </si>
  <si>
    <t>Lmutual for i7-L4</t>
  </si>
  <si>
    <t>Lmutual for i7-L5</t>
  </si>
  <si>
    <t>Lmutual for i7-L6</t>
  </si>
  <si>
    <t>Lmutual for i7-L7</t>
  </si>
  <si>
    <t>Lmutual for i7-L8</t>
  </si>
  <si>
    <t>Lmutual for i8-L2</t>
  </si>
  <si>
    <t>Lmutual for i8-L3</t>
  </si>
  <si>
    <t>Lmutual for i8-L4</t>
  </si>
  <si>
    <t>Lmutual for i8-L5</t>
  </si>
  <si>
    <t>Lmutual for i8-L6</t>
  </si>
  <si>
    <t>Lmutual for i8-L7</t>
  </si>
  <si>
    <t>Lmutual for i8-L8</t>
  </si>
  <si>
    <t>Sensor Free-Space Inductance</t>
  </si>
  <si>
    <r>
      <rPr>
        <sz val="10"/>
        <color indexed="8"/>
        <rFont val="Calibri"/>
        <family val="2"/>
      </rPr>
      <t>µH</t>
    </r>
  </si>
  <si>
    <t>Sensor Inductance with Target interaction</t>
  </si>
  <si>
    <t>Total Inductance with no target</t>
  </si>
  <si>
    <r>
      <t>L</t>
    </r>
    <r>
      <rPr>
        <vertAlign val="subscript"/>
        <sz val="11"/>
        <color indexed="8"/>
        <rFont val="Calibri"/>
        <family val="2"/>
      </rPr>
      <t>TOTAL</t>
    </r>
  </si>
  <si>
    <r>
      <rPr>
        <b/>
        <sz val="10"/>
        <color indexed="8"/>
        <rFont val="Calibri"/>
        <family val="2"/>
      </rPr>
      <t>µ</t>
    </r>
    <r>
      <rPr>
        <b/>
        <sz val="10"/>
        <color indexed="8"/>
        <rFont val="Calibri"/>
        <family val="2"/>
      </rPr>
      <t>H</t>
    </r>
  </si>
  <si>
    <t>Sensor Operating Frequency</t>
  </si>
  <si>
    <t>Hz</t>
  </si>
  <si>
    <t>Sensor Operating Frequency no target</t>
  </si>
  <si>
    <r>
      <rPr>
        <i/>
        <sz val="11"/>
        <color theme="1"/>
        <rFont val="Calibri"/>
        <family val="2"/>
        <scheme val="minor"/>
      </rPr>
      <t>f</t>
    </r>
    <r>
      <rPr>
        <vertAlign val="subscript"/>
        <sz val="11"/>
        <color theme="1"/>
        <rFont val="Calibri"/>
        <family val="2"/>
        <scheme val="minor"/>
      </rPr>
      <t>RES</t>
    </r>
  </si>
  <si>
    <t>coil length per layer</t>
  </si>
  <si>
    <t>l</t>
  </si>
  <si>
    <t>DC resistance</t>
  </si>
  <si>
    <t>Rdc</t>
  </si>
  <si>
    <t>Ω</t>
  </si>
  <si>
    <t>Skin depth</t>
  </si>
  <si>
    <t>sd</t>
  </si>
  <si>
    <t>AC resistance (skin effect only)</t>
  </si>
  <si>
    <t>Rs</t>
  </si>
  <si>
    <t>Resonance impedance estimate</t>
  </si>
  <si>
    <t>Rp</t>
  </si>
  <si>
    <t>Rp with no Target</t>
  </si>
  <si>
    <r>
      <t>R</t>
    </r>
    <r>
      <rPr>
        <vertAlign val="subscript"/>
        <sz val="11"/>
        <color theme="1"/>
        <rFont val="Calibri"/>
        <family val="2"/>
        <scheme val="minor"/>
      </rPr>
      <t>P</t>
    </r>
  </si>
  <si>
    <t>kΩ</t>
  </si>
  <si>
    <t>Q factor</t>
  </si>
  <si>
    <t>Q</t>
  </si>
  <si>
    <t>Self resonant frequency (estimated)</t>
  </si>
  <si>
    <t>SRF</t>
  </si>
  <si>
    <t>MHz</t>
  </si>
  <si>
    <t>SRF must be &gt;1.25*Fsensor</t>
  </si>
  <si>
    <t>Target Distance</t>
  </si>
  <si>
    <t>D</t>
  </si>
  <si>
    <t>Target Distance in mm</t>
  </si>
  <si>
    <t>Target Distance/Sensor Diameter Ratio</t>
  </si>
  <si>
    <t>RP Adjust Factor</t>
  </si>
  <si>
    <t>RP Adjust Factor (clipped)</t>
  </si>
  <si>
    <t>Target Conductivity (composition &amp; thickness)</t>
  </si>
  <si>
    <t>New Inductance with target</t>
  </si>
  <si>
    <t>Skin depth at new sensor frequency</t>
  </si>
  <si>
    <t>sd'</t>
  </si>
  <si>
    <t>New Rs based on skin effect</t>
  </si>
  <si>
    <t xml:space="preserve">New Rp </t>
  </si>
  <si>
    <t>Device Min Fsensor</t>
  </si>
  <si>
    <t>Device Max Fsensor</t>
  </si>
  <si>
    <t>Device Min Rp</t>
  </si>
  <si>
    <t>Device Max Rp</t>
  </si>
  <si>
    <t>Device Min Q</t>
  </si>
  <si>
    <t>Device Max Q</t>
  </si>
  <si>
    <t>Sensor Inductance from Target Interaction</t>
  </si>
  <si>
    <t>L'</t>
  </si>
  <si>
    <t>Sensor Frequency with Target Interaction</t>
  </si>
  <si>
    <r>
      <rPr>
        <i/>
        <sz val="11"/>
        <color theme="1"/>
        <rFont val="Calibri"/>
        <family val="2"/>
        <scheme val="minor"/>
      </rPr>
      <t>f</t>
    </r>
    <r>
      <rPr>
        <vertAlign val="subscript"/>
        <sz val="11"/>
        <color theme="1"/>
        <rFont val="Calibri"/>
        <family val="2"/>
        <scheme val="minor"/>
      </rPr>
      <t>RES</t>
    </r>
    <r>
      <rPr>
        <sz val="11"/>
        <color theme="1"/>
        <rFont val="Calibri"/>
        <family val="2"/>
        <scheme val="minor"/>
      </rPr>
      <t>'</t>
    </r>
  </si>
  <si>
    <t>Rp with Target Interation</t>
  </si>
  <si>
    <r>
      <t>R</t>
    </r>
    <r>
      <rPr>
        <vertAlign val="subscript"/>
        <sz val="12"/>
        <rFont val="Calibri"/>
        <family val="2"/>
        <scheme val="minor"/>
      </rPr>
      <t>P</t>
    </r>
    <r>
      <rPr>
        <sz val="12"/>
        <rFont val="Calibri"/>
        <family val="2"/>
        <scheme val="minor"/>
      </rPr>
      <t>'</t>
    </r>
  </si>
  <si>
    <t>Q Factor with target</t>
  </si>
  <si>
    <t>Q'</t>
  </si>
  <si>
    <t>Min Ccom</t>
  </si>
  <si>
    <t>Ccom-min</t>
  </si>
  <si>
    <t>nF</t>
  </si>
  <si>
    <t>Max Ccom</t>
  </si>
  <si>
    <t>Ccom-max</t>
  </si>
  <si>
    <t>Device</t>
  </si>
  <si>
    <t>MinRp</t>
  </si>
  <si>
    <t>MaxRp</t>
  </si>
  <si>
    <t>MinQ</t>
  </si>
  <si>
    <t>MaxQ</t>
  </si>
  <si>
    <t>MinFs</t>
  </si>
  <si>
    <t>MaxFs</t>
  </si>
  <si>
    <t>LDC1101</t>
  </si>
  <si>
    <t>LDC1000</t>
  </si>
  <si>
    <t>LDC1312/4</t>
  </si>
  <si>
    <t>LDC0851</t>
  </si>
  <si>
    <t>LDC2112/4</t>
  </si>
  <si>
    <r>
      <t>C</t>
    </r>
    <r>
      <rPr>
        <vertAlign val="subscript"/>
        <sz val="11"/>
        <color theme="1"/>
        <rFont val="Calibri"/>
        <family val="2"/>
        <scheme val="minor"/>
      </rPr>
      <t>com</t>
    </r>
    <r>
      <rPr>
        <sz val="11"/>
        <color theme="1"/>
        <rFont val="Calibri"/>
        <family val="2"/>
        <scheme val="minor"/>
      </rPr>
      <t xml:space="preserve"> Value (with Target)</t>
    </r>
  </si>
  <si>
    <t>Ccom</t>
  </si>
  <si>
    <t>Target Material</t>
  </si>
  <si>
    <t>Target Thickness</t>
  </si>
  <si>
    <t>Aluminum, 6061-T6</t>
  </si>
  <si>
    <t>Aluminum, 1100</t>
  </si>
  <si>
    <t>316 Stainless Steel</t>
  </si>
  <si>
    <t>304 Stainless Steel</t>
  </si>
  <si>
    <t>Copper</t>
  </si>
  <si>
    <t>1006 Steel</t>
  </si>
  <si>
    <t>430 Stainless Steel</t>
  </si>
  <si>
    <t>Titanium</t>
  </si>
  <si>
    <t>Target Materials:</t>
  </si>
  <si>
    <t xml:space="preserve">Air </t>
  </si>
  <si>
    <t>Select Air for No Target</t>
  </si>
  <si>
    <t>Quick Sensor L/C/f Calculator:</t>
  </si>
  <si>
    <t>fsensor</t>
  </si>
  <si>
    <t>Quick Sensor Rp/Rs/Q Calculator:</t>
  </si>
  <si>
    <t>Pass Parameters for FEMM SIM</t>
  </si>
  <si>
    <t>num Turns</t>
  </si>
  <si>
    <t>Outer Diameter in mm</t>
  </si>
  <si>
    <t>Trace Width in mm</t>
  </si>
  <si>
    <t>Trace Space in mm</t>
  </si>
  <si>
    <t>Trace Thickness in mm</t>
  </si>
  <si>
    <t>Trace Conductivity RB</t>
  </si>
  <si>
    <t>Csensor</t>
  </si>
  <si>
    <t>PCB thickness L1-2 mm</t>
  </si>
  <si>
    <t>PCB thickness L2-3 mm</t>
  </si>
  <si>
    <t>PCB thickness L3-4 mm</t>
  </si>
  <si>
    <t>PCB thickness L4-5 mm</t>
  </si>
  <si>
    <t>PCB thickness L5-6 mm</t>
  </si>
  <si>
    <t>PCB thickness L6-7 mm</t>
  </si>
  <si>
    <t>PCB thickness L7-8 mm</t>
  </si>
  <si>
    <t>Initial Fsensor MHz</t>
  </si>
  <si>
    <t>Num Layers</t>
  </si>
  <si>
    <t>Sensor Frequency with Target</t>
  </si>
  <si>
    <t>Run sensitivity</t>
  </si>
  <si>
    <r>
      <t>ppm/</t>
    </r>
    <r>
      <rPr>
        <sz val="11"/>
        <color theme="1"/>
        <rFont val="Calibri"/>
        <family val="2"/>
      </rPr>
      <t>µm</t>
    </r>
  </si>
  <si>
    <t>Sensitivity (frequency shift)</t>
  </si>
  <si>
    <t>Save FEM simulation to file</t>
  </si>
  <si>
    <t xml:space="preserve">For full functionality, FEMM should be installed. Get FEMM from </t>
  </si>
  <si>
    <t>www.femm.info</t>
  </si>
  <si>
    <t>Enter exactly as named in FEMM materials library</t>
  </si>
  <si>
    <t>Other target material - enter here &amp; select above</t>
  </si>
  <si>
    <t>Target Movement shift</t>
  </si>
  <si>
    <t>Sensor  Frequency at shifted target</t>
  </si>
  <si>
    <t>0.5mm</t>
  </si>
  <si>
    <t>ohm/cm</t>
  </si>
  <si>
    <t>ohm/m</t>
  </si>
  <si>
    <t>cm/m</t>
  </si>
  <si>
    <t>mS</t>
  </si>
  <si>
    <t>416 stainless steel, annealed</t>
  </si>
  <si>
    <t>Long side for racetrack in mm</t>
  </si>
  <si>
    <t>Inner Diameter</t>
  </si>
  <si>
    <t>Circular</t>
  </si>
  <si>
    <t>enter here</t>
  </si>
  <si>
    <t>FEMM Simulation Results (only updated after pressing Run FEMM button)</t>
  </si>
  <si>
    <t>LDC3114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</si>
</sst>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0"/>
    <numFmt numFmtId="167" formatCode="0.000E+00"/>
    <numFmt numFmtId="168" formatCode="0.00000"/>
    <numFmt numFmtId="169" formatCode="0.0000000"/>
  </numFmts>
  <fonts count="57" x14ac:knownFonts="1">
    <font>
      <sz val="11"/>
      <color theme="1"/>
      <name val="Calibri"/>
      <family val="2"/>
      <scheme val="minor"/>
    </font>
    <font>
      <sz val="11"/>
      <color theme="1"/>
      <name val="Calibri"/>
      <family val="2"/>
      <scheme val="minor"/>
    </font>
    <font>
      <sz val="11"/>
      <color rgb="FF3F3F76"/>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i/>
      <sz val="11"/>
      <color theme="1"/>
      <name val="Calibri"/>
      <family val="2"/>
      <scheme val="minor"/>
    </font>
    <font>
      <b/>
      <sz val="11"/>
      <color theme="1"/>
      <name val="Calibri"/>
      <family val="2"/>
    </font>
    <font>
      <b/>
      <sz val="12"/>
      <name val="Calibri"/>
      <family val="2"/>
      <scheme val="minor"/>
    </font>
    <font>
      <b/>
      <sz val="12"/>
      <color rgb="FFFF0000"/>
      <name val="Calibri"/>
      <family val="2"/>
      <scheme val="minor"/>
    </font>
    <font>
      <b/>
      <sz val="13"/>
      <name val="Calibri"/>
      <family val="2"/>
      <scheme val="minor"/>
    </font>
    <font>
      <sz val="12"/>
      <color theme="1"/>
      <name val="Calibri"/>
      <family val="2"/>
      <scheme val="minor"/>
    </font>
    <font>
      <sz val="12"/>
      <color indexed="8"/>
      <name val="Calibri"/>
      <family val="2"/>
    </font>
    <font>
      <b/>
      <sz val="13"/>
      <color theme="1"/>
      <name val="Calibri"/>
      <family val="2"/>
      <scheme val="minor"/>
    </font>
    <font>
      <sz val="11"/>
      <color theme="0" tint="-0.14999847407452621"/>
      <name val="Calibri"/>
      <family val="2"/>
      <scheme val="minor"/>
    </font>
    <font>
      <sz val="10"/>
      <color theme="1"/>
      <name val="Calibri"/>
      <family val="2"/>
      <scheme val="minor"/>
    </font>
    <font>
      <vertAlign val="subscript"/>
      <sz val="11"/>
      <color indexed="8"/>
      <name val="Calibri"/>
      <family val="2"/>
    </font>
    <font>
      <sz val="10"/>
      <color rgb="FF005426"/>
      <name val="Calibri"/>
      <family val="2"/>
      <scheme val="minor"/>
    </font>
    <font>
      <sz val="13"/>
      <color theme="1"/>
      <name val="Calibri"/>
      <family val="2"/>
      <scheme val="minor"/>
    </font>
    <font>
      <sz val="10"/>
      <name val="Calibri"/>
      <family val="2"/>
      <scheme val="minor"/>
    </font>
    <font>
      <b/>
      <sz val="11"/>
      <color rgb="FFFF0000"/>
      <name val="Calibri"/>
      <family val="2"/>
      <scheme val="minor"/>
    </font>
    <font>
      <sz val="9"/>
      <color theme="1"/>
      <name val="Calibri"/>
      <family val="2"/>
      <scheme val="minor"/>
    </font>
    <font>
      <sz val="9"/>
      <color indexed="8"/>
      <name val="Calibri"/>
      <family val="2"/>
    </font>
    <font>
      <vertAlign val="subscript"/>
      <sz val="9"/>
      <color indexed="8"/>
      <name val="Calibri"/>
      <family val="2"/>
    </font>
    <font>
      <sz val="10"/>
      <color indexed="8"/>
      <name val="Calibri"/>
      <family val="2"/>
    </font>
    <font>
      <sz val="9"/>
      <color theme="1"/>
      <name val="Calibri"/>
      <family val="2"/>
    </font>
    <font>
      <i/>
      <sz val="9"/>
      <name val="Calibri"/>
      <family val="2"/>
      <scheme val="minor"/>
    </font>
    <font>
      <i/>
      <sz val="9"/>
      <color theme="1"/>
      <name val="Calibri"/>
      <family val="2"/>
      <scheme val="minor"/>
    </font>
    <font>
      <b/>
      <sz val="9"/>
      <color theme="1"/>
      <name val="Calibri"/>
      <family val="2"/>
      <scheme val="minor"/>
    </font>
    <font>
      <sz val="10"/>
      <color theme="1"/>
      <name val="Calibri"/>
      <family val="2"/>
    </font>
    <font>
      <b/>
      <sz val="10"/>
      <color theme="1"/>
      <name val="Calibri"/>
      <family val="2"/>
      <scheme val="minor"/>
    </font>
    <font>
      <b/>
      <sz val="10"/>
      <color indexed="8"/>
      <name val="Calibri"/>
      <family val="2"/>
    </font>
    <font>
      <b/>
      <sz val="12"/>
      <color theme="1"/>
      <name val="Calibri"/>
      <family val="2"/>
      <scheme val="minor"/>
    </font>
    <font>
      <vertAlign val="subscript"/>
      <sz val="11"/>
      <color theme="1"/>
      <name val="Calibri"/>
      <family val="2"/>
      <scheme val="minor"/>
    </font>
    <font>
      <sz val="9"/>
      <color theme="1" tint="0.34998626667073579"/>
      <name val="Calibri"/>
      <family val="2"/>
      <scheme val="minor"/>
    </font>
    <font>
      <sz val="11"/>
      <color theme="1" tint="0.34998626667073579"/>
      <name val="Calibri"/>
      <family val="2"/>
      <scheme val="minor"/>
    </font>
    <font>
      <sz val="10"/>
      <color theme="1" tint="0.34998626667073579"/>
      <name val="Calibri"/>
      <family val="2"/>
    </font>
    <font>
      <sz val="10"/>
      <color theme="1" tint="0.34998626667073579"/>
      <name val="Calibri"/>
      <family val="2"/>
      <scheme val="minor"/>
    </font>
    <font>
      <sz val="11"/>
      <name val="Calibri"/>
      <family val="2"/>
      <scheme val="minor"/>
    </font>
    <font>
      <b/>
      <sz val="11"/>
      <name val="Calibri"/>
      <family val="2"/>
      <scheme val="minor"/>
    </font>
    <font>
      <b/>
      <sz val="10"/>
      <name val="Calibri"/>
      <family val="2"/>
    </font>
    <font>
      <sz val="11"/>
      <color theme="1"/>
      <name val="Calibri"/>
      <family val="2"/>
    </font>
    <font>
      <sz val="11"/>
      <color rgb="FFFF00FF"/>
      <name val="Calibri"/>
      <family val="2"/>
      <scheme val="minor"/>
    </font>
    <font>
      <i/>
      <sz val="11"/>
      <name val="Calibri"/>
      <family val="2"/>
      <scheme val="minor"/>
    </font>
    <font>
      <sz val="10"/>
      <name val="Calibri"/>
      <family val="2"/>
    </font>
    <font>
      <sz val="12"/>
      <name val="Calibri"/>
      <family val="2"/>
      <scheme val="minor"/>
    </font>
    <font>
      <b/>
      <sz val="14"/>
      <name val="Calibri"/>
      <family val="2"/>
      <scheme val="minor"/>
    </font>
    <font>
      <sz val="14"/>
      <color rgb="FFFF0000"/>
      <name val="Calibri"/>
      <family val="2"/>
      <scheme val="minor"/>
    </font>
    <font>
      <vertAlign val="subscript"/>
      <sz val="12"/>
      <name val="Calibri"/>
      <family val="2"/>
      <scheme val="minor"/>
    </font>
    <font>
      <b/>
      <sz val="14"/>
      <name val="Calibri"/>
      <family val="2"/>
    </font>
    <font>
      <sz val="11"/>
      <name val="Calibri"/>
      <family val="2"/>
    </font>
    <font>
      <sz val="7"/>
      <color theme="1"/>
      <name val="Calibri"/>
      <family val="2"/>
      <scheme val="minor"/>
    </font>
    <font>
      <i/>
      <sz val="12"/>
      <color theme="1"/>
      <name val="Calibri"/>
      <family val="2"/>
      <scheme val="minor"/>
    </font>
    <font>
      <sz val="11"/>
      <color theme="0" tint="-0.499984740745262"/>
      <name val="Calibri"/>
      <family val="2"/>
      <scheme val="minor"/>
    </font>
    <font>
      <sz val="8"/>
      <color rgb="FF000000"/>
      <name val="Segoe UI"/>
      <family val="2"/>
    </font>
    <font>
      <sz val="18"/>
      <color rgb="FF000000"/>
      <name val="Calibri"/>
      <family val="2"/>
    </font>
  </fonts>
  <fills count="9">
    <fill>
      <patternFill patternType="none"/>
    </fill>
    <fill>
      <patternFill patternType="gray125"/>
    </fill>
    <fill>
      <patternFill patternType="solid">
        <fgColor rgb="FFFFCC99"/>
      </patternFill>
    </fill>
    <fill>
      <patternFill patternType="solid">
        <fgColor rgb="FFFFFFCC"/>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double">
        <color auto="1"/>
      </left>
      <right style="medium">
        <color auto="1"/>
      </right>
      <top style="double">
        <color auto="1"/>
      </top>
      <bottom/>
      <diagonal/>
    </border>
    <border>
      <left style="medium">
        <color auto="1"/>
      </left>
      <right style="medium">
        <color auto="1"/>
      </right>
      <top style="double">
        <color auto="1"/>
      </top>
      <bottom/>
      <diagonal/>
    </border>
    <border>
      <left style="medium">
        <color auto="1"/>
      </left>
      <right style="double">
        <color auto="1"/>
      </right>
      <top style="double">
        <color auto="1"/>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style="thin">
        <color indexed="64"/>
      </right>
      <top style="thin">
        <color indexed="64"/>
      </top>
      <bottom style="thin">
        <color indexed="64"/>
      </bottom>
      <diagonal/>
    </border>
    <border>
      <left/>
      <right style="thin">
        <color theme="0" tint="-4.9989318521683403E-2"/>
      </right>
      <top/>
      <bottom style="thin">
        <color theme="0" tint="-4.9989318521683403E-2"/>
      </bottom>
      <diagonal/>
    </border>
  </borders>
  <cellStyleXfs count="4">
    <xf numFmtId="0" fontId="0" fillId="0" borderId="0"/>
    <xf numFmtId="0" fontId="2" fillId="2" borderId="1" applyNumberFormat="0" applyAlignment="0" applyProtection="0"/>
    <xf numFmtId="0" fontId="1" fillId="3" borderId="2" applyNumberFormat="0" applyFont="0" applyAlignment="0" applyProtection="0"/>
    <xf numFmtId="0" fontId="6" fillId="0" borderId="0" applyNumberFormat="0" applyFill="0" applyBorder="0" applyAlignment="0" applyProtection="0"/>
  </cellStyleXfs>
  <cellXfs count="232">
    <xf numFmtId="0" fontId="0" fillId="0" borderId="0" xfId="0"/>
    <xf numFmtId="0" fontId="5" fillId="0" borderId="0" xfId="0" applyFont="1" applyProtection="1"/>
    <xf numFmtId="0" fontId="0" fillId="0" borderId="0" xfId="0" applyProtection="1"/>
    <xf numFmtId="0" fontId="0" fillId="0" borderId="0" xfId="0" applyAlignment="1" applyProtection="1">
      <alignment horizontal="right"/>
    </xf>
    <xf numFmtId="0" fontId="6" fillId="0" borderId="0" xfId="3" applyAlignment="1" applyProtection="1"/>
    <xf numFmtId="0" fontId="7" fillId="0" borderId="0" xfId="0" applyFont="1" applyAlignment="1" applyProtection="1">
      <alignment vertical="center"/>
    </xf>
    <xf numFmtId="0" fontId="0" fillId="0" borderId="0" xfId="0" applyAlignment="1" applyProtection="1"/>
    <xf numFmtId="0" fontId="6" fillId="0" borderId="0" xfId="3" applyProtection="1">
      <protection locked="0"/>
    </xf>
    <xf numFmtId="0" fontId="5" fillId="0" borderId="0" xfId="0" applyFont="1" applyAlignment="1" applyProtection="1"/>
    <xf numFmtId="0" fontId="4" fillId="4" borderId="0" xfId="0" applyFont="1" applyFill="1" applyProtection="1"/>
    <xf numFmtId="0" fontId="0" fillId="4" borderId="0" xfId="0" applyFill="1" applyProtection="1"/>
    <xf numFmtId="0" fontId="4" fillId="0" borderId="0" xfId="0" applyFont="1" applyAlignment="1" applyProtection="1">
      <alignment horizontal="left"/>
    </xf>
    <xf numFmtId="0" fontId="4" fillId="5" borderId="0" xfId="0" applyFont="1" applyFill="1" applyProtection="1"/>
    <xf numFmtId="0" fontId="0" fillId="5" borderId="0" xfId="0" applyFill="1" applyProtection="1"/>
    <xf numFmtId="0" fontId="0" fillId="0" borderId="0" xfId="0" applyProtection="1">
      <protection locked="0"/>
    </xf>
    <xf numFmtId="0" fontId="9" fillId="0" borderId="6" xfId="0" applyFont="1" applyBorder="1" applyAlignment="1" applyProtection="1">
      <alignment horizontal="left"/>
    </xf>
    <xf numFmtId="0" fontId="10" fillId="0" borderId="6" xfId="0" applyFont="1" applyBorder="1" applyAlignment="1" applyProtection="1">
      <alignment horizontal="center"/>
    </xf>
    <xf numFmtId="0" fontId="11" fillId="4" borderId="6" xfId="0" applyFont="1" applyFill="1" applyBorder="1" applyAlignment="1" applyProtection="1">
      <alignment horizontal="center"/>
      <protection locked="0"/>
    </xf>
    <xf numFmtId="0" fontId="12" fillId="0" borderId="6" xfId="0" applyFont="1" applyBorder="1" applyAlignment="1" applyProtection="1">
      <alignment horizontal="left"/>
    </xf>
    <xf numFmtId="0" fontId="12" fillId="0" borderId="6" xfId="0" applyFont="1" applyBorder="1" applyAlignment="1" applyProtection="1">
      <alignment horizontal="center"/>
    </xf>
    <xf numFmtId="0" fontId="12" fillId="4" borderId="6" xfId="0" applyFont="1" applyFill="1" applyBorder="1" applyAlignment="1" applyProtection="1">
      <alignment horizontal="right"/>
      <protection locked="0"/>
    </xf>
    <xf numFmtId="0" fontId="12" fillId="0" borderId="6" xfId="0" applyFont="1" applyFill="1" applyBorder="1" applyAlignment="1" applyProtection="1">
      <alignment horizontal="left"/>
    </xf>
    <xf numFmtId="0" fontId="12" fillId="0" borderId="6" xfId="0" applyFont="1" applyBorder="1" applyAlignment="1" applyProtection="1"/>
    <xf numFmtId="164" fontId="14" fillId="4" borderId="6" xfId="0" applyNumberFormat="1" applyFont="1" applyFill="1" applyBorder="1" applyAlignment="1" applyProtection="1">
      <alignment horizontal="right"/>
      <protection locked="0"/>
    </xf>
    <xf numFmtId="0" fontId="15" fillId="0" borderId="0" xfId="0" applyFont="1" applyProtection="1">
      <protection locked="0"/>
    </xf>
    <xf numFmtId="0" fontId="4" fillId="0" borderId="0" xfId="0" applyFont="1" applyProtection="1">
      <protection locked="0"/>
    </xf>
    <xf numFmtId="0" fontId="12" fillId="0" borderId="6" xfId="0" applyFont="1" applyBorder="1" applyProtection="1"/>
    <xf numFmtId="1" fontId="14" fillId="4" borderId="6" xfId="0" applyNumberFormat="1" applyFont="1" applyFill="1" applyBorder="1" applyAlignment="1" applyProtection="1">
      <alignment horizontal="right"/>
      <protection locked="0"/>
    </xf>
    <xf numFmtId="2" fontId="0" fillId="0" borderId="0" xfId="0" applyNumberFormat="1" applyProtection="1">
      <protection locked="0"/>
    </xf>
    <xf numFmtId="0" fontId="0" fillId="0" borderId="6" xfId="0" applyBorder="1" applyProtection="1"/>
    <xf numFmtId="0" fontId="0" fillId="0" borderId="6" xfId="0" applyBorder="1" applyAlignment="1" applyProtection="1">
      <alignment horizontal="center"/>
    </xf>
    <xf numFmtId="0" fontId="14" fillId="4" borderId="6" xfId="0" applyFont="1" applyFill="1" applyBorder="1" applyAlignment="1" applyProtection="1">
      <alignment horizontal="right"/>
      <protection locked="0"/>
    </xf>
    <xf numFmtId="0" fontId="16" fillId="0" borderId="6" xfId="0" applyFont="1" applyFill="1" applyBorder="1" applyAlignment="1" applyProtection="1">
      <alignment horizontal="left"/>
    </xf>
    <xf numFmtId="0" fontId="0" fillId="0" borderId="6" xfId="0" applyBorder="1" applyAlignment="1" applyProtection="1"/>
    <xf numFmtId="2" fontId="14" fillId="4" borderId="6" xfId="0" applyNumberFormat="1" applyFont="1" applyFill="1" applyBorder="1" applyAlignment="1" applyProtection="1">
      <alignment horizontal="right"/>
      <protection locked="0"/>
    </xf>
    <xf numFmtId="0" fontId="18" fillId="4" borderId="6" xfId="0" applyFont="1" applyFill="1" applyBorder="1" applyAlignment="1" applyProtection="1">
      <alignment horizontal="center"/>
      <protection locked="0"/>
    </xf>
    <xf numFmtId="2" fontId="19" fillId="6" borderId="6" xfId="0" applyNumberFormat="1" applyFont="1" applyFill="1" applyBorder="1" applyAlignment="1" applyProtection="1">
      <alignment horizontal="right"/>
      <protection locked="0"/>
    </xf>
    <xf numFmtId="0" fontId="18" fillId="0" borderId="6" xfId="0" applyFont="1" applyFill="1" applyBorder="1" applyAlignment="1" applyProtection="1">
      <alignment horizontal="center"/>
      <protection locked="0"/>
    </xf>
    <xf numFmtId="165" fontId="19" fillId="6" borderId="6" xfId="0" applyNumberFormat="1" applyFont="1" applyFill="1" applyBorder="1" applyAlignment="1" applyProtection="1">
      <alignment horizontal="right"/>
      <protection locked="0"/>
    </xf>
    <xf numFmtId="0" fontId="18" fillId="0" borderId="6" xfId="0" applyFont="1" applyFill="1" applyBorder="1" applyAlignment="1" applyProtection="1">
      <alignment horizontal="center"/>
    </xf>
    <xf numFmtId="165" fontId="14" fillId="4" borderId="6" xfId="0" applyNumberFormat="1" applyFont="1" applyFill="1" applyBorder="1" applyAlignment="1" applyProtection="1">
      <alignment horizontal="right"/>
      <protection locked="0"/>
    </xf>
    <xf numFmtId="0" fontId="20" fillId="0" borderId="6" xfId="0" applyFont="1" applyFill="1" applyBorder="1" applyAlignment="1" applyProtection="1">
      <alignment horizontal="center"/>
    </xf>
    <xf numFmtId="0" fontId="21" fillId="0" borderId="6" xfId="0" applyFont="1" applyBorder="1" applyAlignment="1" applyProtection="1"/>
    <xf numFmtId="2" fontId="19" fillId="6" borderId="6" xfId="0" applyNumberFormat="1" applyFont="1" applyFill="1" applyBorder="1" applyAlignment="1" applyProtection="1">
      <alignment horizontal="right"/>
    </xf>
    <xf numFmtId="165" fontId="19" fillId="6" borderId="6" xfId="0" applyNumberFormat="1" applyFont="1" applyFill="1" applyBorder="1" applyAlignment="1" applyProtection="1">
      <alignment horizontal="right"/>
    </xf>
    <xf numFmtId="0" fontId="18" fillId="6" borderId="6" xfId="0" applyFont="1" applyFill="1" applyBorder="1" applyAlignment="1" applyProtection="1">
      <alignment horizontal="center"/>
      <protection locked="0"/>
    </xf>
    <xf numFmtId="165" fontId="0" fillId="6" borderId="6" xfId="0" applyNumberFormat="1" applyFont="1" applyFill="1" applyBorder="1" applyAlignment="1" applyProtection="1">
      <alignment horizontal="right"/>
      <protection locked="0"/>
    </xf>
    <xf numFmtId="165" fontId="12" fillId="6" borderId="6" xfId="0" applyNumberFormat="1" applyFont="1" applyFill="1" applyBorder="1" applyAlignment="1" applyProtection="1">
      <alignment horizontal="right"/>
      <protection locked="0"/>
    </xf>
    <xf numFmtId="165" fontId="0" fillId="6" borderId="6" xfId="0" applyNumberFormat="1" applyFill="1" applyBorder="1" applyAlignment="1" applyProtection="1">
      <alignment horizontal="right"/>
      <protection locked="0"/>
    </xf>
    <xf numFmtId="0" fontId="18" fillId="6" borderId="6" xfId="0" applyFont="1" applyFill="1" applyBorder="1" applyAlignment="1" applyProtection="1">
      <alignment horizontal="center"/>
    </xf>
    <xf numFmtId="165" fontId="0" fillId="4" borderId="6" xfId="0" applyNumberFormat="1" applyFill="1" applyBorder="1" applyAlignment="1" applyProtection="1">
      <alignment horizontal="right"/>
      <protection locked="0"/>
    </xf>
    <xf numFmtId="166" fontId="0" fillId="6" borderId="6" xfId="0" applyNumberFormat="1" applyFill="1" applyBorder="1" applyAlignment="1" applyProtection="1">
      <alignment horizontal="right"/>
      <protection locked="0"/>
    </xf>
    <xf numFmtId="0" fontId="22" fillId="8" borderId="6" xfId="2" applyFont="1" applyFill="1" applyBorder="1" applyProtection="1"/>
    <xf numFmtId="0" fontId="22" fillId="8" borderId="6" xfId="2" applyFont="1" applyFill="1" applyBorder="1" applyAlignment="1" applyProtection="1">
      <alignment horizontal="center"/>
    </xf>
    <xf numFmtId="11" fontId="22" fillId="7" borderId="6" xfId="2" applyNumberFormat="1" applyFont="1" applyFill="1" applyBorder="1" applyAlignment="1" applyProtection="1">
      <alignment horizontal="right"/>
      <protection locked="0"/>
    </xf>
    <xf numFmtId="0" fontId="22" fillId="8" borderId="6" xfId="2" applyFont="1" applyFill="1" applyBorder="1" applyAlignment="1" applyProtection="1">
      <alignment horizontal="left"/>
    </xf>
    <xf numFmtId="0" fontId="22" fillId="8" borderId="6" xfId="2" applyFont="1" applyFill="1" applyBorder="1" applyAlignment="1" applyProtection="1"/>
    <xf numFmtId="165" fontId="22" fillId="7" borderId="6" xfId="2" applyNumberFormat="1" applyFont="1" applyFill="1" applyBorder="1" applyAlignment="1" applyProtection="1">
      <alignment horizontal="right"/>
      <protection locked="0"/>
    </xf>
    <xf numFmtId="0" fontId="23" fillId="8" borderId="6" xfId="2" applyFont="1" applyFill="1" applyBorder="1" applyAlignment="1" applyProtection="1">
      <alignment horizontal="center"/>
    </xf>
    <xf numFmtId="2" fontId="22" fillId="7" borderId="6" xfId="2" applyNumberFormat="1" applyFont="1" applyFill="1" applyBorder="1" applyAlignment="1" applyProtection="1">
      <alignment horizontal="right"/>
      <protection locked="0"/>
    </xf>
    <xf numFmtId="164" fontId="22" fillId="7" borderId="6" xfId="2" applyNumberFormat="1" applyFont="1" applyFill="1" applyBorder="1" applyAlignment="1" applyProtection="1">
      <alignment horizontal="right"/>
      <protection locked="0"/>
    </xf>
    <xf numFmtId="0" fontId="22" fillId="0" borderId="6" xfId="0" applyFont="1" applyFill="1" applyBorder="1" applyProtection="1"/>
    <xf numFmtId="0" fontId="22" fillId="0" borderId="6" xfId="0" applyFont="1" applyFill="1" applyBorder="1" applyAlignment="1" applyProtection="1">
      <alignment horizontal="center"/>
    </xf>
    <xf numFmtId="167" fontId="22" fillId="5" borderId="6" xfId="0" applyNumberFormat="1" applyFont="1" applyFill="1" applyBorder="1" applyAlignment="1" applyProtection="1">
      <alignment horizontal="right" vertical="center"/>
    </xf>
    <xf numFmtId="0" fontId="22" fillId="0" borderId="6" xfId="0" applyFont="1" applyFill="1" applyBorder="1" applyAlignment="1" applyProtection="1">
      <alignment horizontal="left" vertical="center"/>
    </xf>
    <xf numFmtId="0" fontId="0" fillId="0" borderId="6" xfId="0" applyFill="1" applyBorder="1" applyAlignment="1" applyProtection="1"/>
    <xf numFmtId="0" fontId="0" fillId="0" borderId="7" xfId="0" applyBorder="1" applyProtection="1"/>
    <xf numFmtId="0" fontId="0" fillId="0" borderId="6" xfId="0" applyFill="1" applyBorder="1" applyProtection="1"/>
    <xf numFmtId="0" fontId="0" fillId="0" borderId="6" xfId="0" applyFill="1" applyBorder="1" applyAlignment="1" applyProtection="1">
      <alignment horizontal="center"/>
    </xf>
    <xf numFmtId="2" fontId="4" fillId="5" borderId="6" xfId="0" applyNumberFormat="1" applyFont="1" applyFill="1" applyBorder="1" applyAlignment="1" applyProtection="1">
      <alignment horizontal="right"/>
    </xf>
    <xf numFmtId="2" fontId="22" fillId="6" borderId="6" xfId="0" applyNumberFormat="1" applyFont="1" applyFill="1" applyBorder="1" applyAlignment="1" applyProtection="1">
      <alignment horizontal="right"/>
    </xf>
    <xf numFmtId="0" fontId="22" fillId="0" borderId="6" xfId="0" applyFont="1" applyFill="1" applyBorder="1" applyAlignment="1" applyProtection="1">
      <alignment horizontal="left"/>
    </xf>
    <xf numFmtId="166" fontId="22" fillId="6" borderId="6" xfId="0" applyNumberFormat="1" applyFont="1" applyFill="1" applyBorder="1" applyAlignment="1" applyProtection="1">
      <alignment horizontal="right"/>
    </xf>
    <xf numFmtId="165" fontId="4" fillId="5" borderId="6" xfId="0" applyNumberFormat="1" applyFont="1" applyFill="1" applyBorder="1" applyAlignment="1" applyProtection="1">
      <alignment horizontal="right"/>
    </xf>
    <xf numFmtId="0" fontId="0" fillId="0" borderId="0" xfId="0" applyFill="1" applyProtection="1">
      <protection locked="0"/>
    </xf>
    <xf numFmtId="165" fontId="0" fillId="5" borderId="6" xfId="0" applyNumberFormat="1" applyFill="1" applyBorder="1" applyAlignment="1" applyProtection="1">
      <alignment horizontal="right"/>
    </xf>
    <xf numFmtId="0" fontId="3" fillId="0" borderId="6" xfId="0" applyFont="1" applyFill="1" applyBorder="1" applyAlignment="1" applyProtection="1"/>
    <xf numFmtId="0" fontId="22" fillId="0" borderId="8" xfId="0" applyFont="1" applyFill="1" applyBorder="1" applyProtection="1"/>
    <xf numFmtId="0" fontId="0" fillId="0" borderId="0" xfId="0" applyFill="1" applyBorder="1" applyAlignment="1" applyProtection="1">
      <alignment horizontal="center"/>
    </xf>
    <xf numFmtId="165" fontId="22" fillId="6" borderId="0" xfId="0" applyNumberFormat="1" applyFont="1" applyFill="1" applyBorder="1" applyAlignment="1" applyProtection="1">
      <alignment horizontal="right"/>
    </xf>
    <xf numFmtId="0" fontId="16" fillId="0" borderId="0" xfId="0" applyFont="1" applyFill="1" applyBorder="1" applyAlignment="1" applyProtection="1">
      <alignment horizontal="left"/>
    </xf>
    <xf numFmtId="0" fontId="22" fillId="0" borderId="9" xfId="0" applyFont="1" applyFill="1" applyBorder="1" applyProtection="1"/>
    <xf numFmtId="0" fontId="22" fillId="0" borderId="0" xfId="0" applyFont="1"/>
    <xf numFmtId="164" fontId="22" fillId="6" borderId="0" xfId="0" applyNumberFormat="1" applyFont="1" applyFill="1"/>
    <xf numFmtId="165" fontId="22" fillId="6" borderId="0" xfId="0" applyNumberFormat="1" applyFont="1" applyFill="1"/>
    <xf numFmtId="0" fontId="26" fillId="0" borderId="0" xfId="0" applyFont="1"/>
    <xf numFmtId="1" fontId="22" fillId="6" borderId="0" xfId="0" applyNumberFormat="1" applyFont="1" applyFill="1"/>
    <xf numFmtId="2" fontId="27" fillId="6" borderId="0" xfId="0" applyNumberFormat="1" applyFont="1" applyFill="1"/>
    <xf numFmtId="165" fontId="28" fillId="6" borderId="0" xfId="0" applyNumberFormat="1" applyFont="1" applyFill="1"/>
    <xf numFmtId="0" fontId="28" fillId="6" borderId="0" xfId="0" applyFont="1" applyFill="1"/>
    <xf numFmtId="166" fontId="22" fillId="6" borderId="0" xfId="0" applyNumberFormat="1" applyFont="1" applyFill="1"/>
    <xf numFmtId="0" fontId="29" fillId="0" borderId="0" xfId="0" applyFont="1"/>
    <xf numFmtId="166" fontId="29" fillId="6" borderId="0" xfId="0" applyNumberFormat="1" applyFont="1" applyFill="1"/>
    <xf numFmtId="0" fontId="22" fillId="6" borderId="0" xfId="0" applyFont="1" applyFill="1"/>
    <xf numFmtId="0" fontId="16" fillId="0" borderId="0" xfId="0" applyFont="1" applyFill="1" applyBorder="1"/>
    <xf numFmtId="165" fontId="20" fillId="6" borderId="6" xfId="1" applyNumberFormat="1" applyFont="1" applyFill="1" applyBorder="1" applyAlignment="1" applyProtection="1">
      <alignment horizontal="right"/>
    </xf>
    <xf numFmtId="0" fontId="30" fillId="0" borderId="0" xfId="0" applyFont="1" applyFill="1" applyBorder="1" applyAlignment="1" applyProtection="1">
      <alignment horizontal="left"/>
    </xf>
    <xf numFmtId="0" fontId="4" fillId="0" borderId="6" xfId="0" applyFont="1" applyFill="1" applyBorder="1" applyProtection="1"/>
    <xf numFmtId="165" fontId="5" fillId="5" borderId="6" xfId="0" applyNumberFormat="1" applyFont="1" applyFill="1" applyBorder="1" applyAlignment="1" applyProtection="1">
      <alignment horizontal="right"/>
    </xf>
    <xf numFmtId="0" fontId="31" fillId="0" borderId="6" xfId="0" applyFont="1" applyFill="1" applyBorder="1" applyAlignment="1" applyProtection="1">
      <alignment horizontal="left"/>
    </xf>
    <xf numFmtId="0" fontId="10" fillId="0" borderId="6" xfId="0" applyFont="1" applyFill="1" applyBorder="1" applyAlignment="1" applyProtection="1"/>
    <xf numFmtId="164" fontId="33" fillId="6" borderId="6" xfId="0" applyNumberFormat="1" applyFont="1" applyFill="1" applyBorder="1" applyAlignment="1" applyProtection="1">
      <alignment horizontal="right"/>
    </xf>
    <xf numFmtId="0" fontId="21" fillId="0" borderId="6" xfId="0" applyFont="1" applyFill="1" applyBorder="1" applyAlignment="1" applyProtection="1"/>
    <xf numFmtId="0" fontId="4" fillId="0" borderId="6" xfId="0" applyFont="1" applyFill="1" applyBorder="1" applyAlignment="1" applyProtection="1">
      <alignment horizontal="left"/>
    </xf>
    <xf numFmtId="0" fontId="35" fillId="0" borderId="6" xfId="0" applyFont="1" applyFill="1" applyBorder="1" applyProtection="1"/>
    <xf numFmtId="0" fontId="35" fillId="0" borderId="6" xfId="0" applyFont="1" applyFill="1" applyBorder="1" applyAlignment="1" applyProtection="1">
      <alignment horizontal="center"/>
    </xf>
    <xf numFmtId="2" fontId="35" fillId="6" borderId="6" xfId="0" applyNumberFormat="1" applyFont="1" applyFill="1" applyBorder="1" applyAlignment="1" applyProtection="1">
      <alignment horizontal="right"/>
    </xf>
    <xf numFmtId="0" fontId="35" fillId="0" borderId="6" xfId="0" applyFont="1" applyFill="1" applyBorder="1" applyAlignment="1" applyProtection="1">
      <alignment horizontal="left"/>
    </xf>
    <xf numFmtId="0" fontId="36" fillId="0" borderId="6" xfId="0" applyFont="1" applyFill="1" applyBorder="1" applyProtection="1"/>
    <xf numFmtId="0" fontId="36" fillId="0" borderId="6" xfId="0" applyFont="1" applyFill="1" applyBorder="1" applyAlignment="1" applyProtection="1">
      <alignment horizontal="center"/>
    </xf>
    <xf numFmtId="165" fontId="36" fillId="6" borderId="6" xfId="0" applyNumberFormat="1" applyFont="1" applyFill="1" applyBorder="1" applyAlignment="1" applyProtection="1">
      <alignment horizontal="right"/>
    </xf>
    <xf numFmtId="0" fontId="37" fillId="0" borderId="6" xfId="0" applyFont="1" applyFill="1" applyBorder="1" applyAlignment="1" applyProtection="1">
      <alignment horizontal="left"/>
    </xf>
    <xf numFmtId="166" fontId="36" fillId="6" borderId="6" xfId="0" applyNumberFormat="1" applyFont="1" applyFill="1" applyBorder="1" applyAlignment="1" applyProtection="1">
      <alignment horizontal="right"/>
    </xf>
    <xf numFmtId="0" fontId="38" fillId="0" borderId="6" xfId="0" applyFont="1" applyFill="1" applyBorder="1" applyAlignment="1" applyProtection="1">
      <alignment horizontal="left"/>
    </xf>
    <xf numFmtId="0" fontId="39" fillId="0" borderId="6" xfId="0" applyFont="1" applyFill="1" applyBorder="1" applyProtection="1"/>
    <xf numFmtId="165" fontId="40" fillId="6" borderId="6" xfId="0" applyNumberFormat="1" applyFont="1" applyFill="1" applyBorder="1" applyAlignment="1" applyProtection="1">
      <alignment horizontal="right"/>
    </xf>
    <xf numFmtId="0" fontId="41" fillId="0" borderId="6" xfId="0" applyFont="1" applyFill="1" applyBorder="1" applyAlignment="1" applyProtection="1">
      <alignment horizontal="left"/>
    </xf>
    <xf numFmtId="0" fontId="0" fillId="0" borderId="6" xfId="0" applyFont="1" applyFill="1" applyBorder="1" applyProtection="1"/>
    <xf numFmtId="0" fontId="0" fillId="0" borderId="6" xfId="0" applyFont="1" applyFill="1" applyBorder="1" applyAlignment="1" applyProtection="1">
      <alignment horizontal="center"/>
    </xf>
    <xf numFmtId="164" fontId="4" fillId="6" borderId="6" xfId="0" applyNumberFormat="1" applyFont="1" applyFill="1" applyBorder="1" applyAlignment="1" applyProtection="1">
      <alignment horizontal="right"/>
    </xf>
    <xf numFmtId="0" fontId="42" fillId="0" borderId="6" xfId="0" applyFont="1" applyFill="1" applyBorder="1" applyAlignment="1" applyProtection="1">
      <alignment horizontal="left"/>
    </xf>
    <xf numFmtId="0" fontId="33" fillId="0" borderId="6" xfId="0" applyFont="1" applyFill="1" applyBorder="1" applyProtection="1"/>
    <xf numFmtId="2" fontId="33" fillId="5" borderId="6" xfId="0" applyNumberFormat="1" applyFont="1" applyFill="1" applyBorder="1" applyAlignment="1" applyProtection="1">
      <alignment horizontal="right"/>
    </xf>
    <xf numFmtId="0" fontId="8" fillId="0" borderId="6" xfId="0" applyFont="1" applyFill="1" applyBorder="1" applyAlignment="1" applyProtection="1">
      <alignment horizontal="left"/>
    </xf>
    <xf numFmtId="0" fontId="33" fillId="0" borderId="6" xfId="0" applyFont="1" applyBorder="1" applyProtection="1"/>
    <xf numFmtId="0" fontId="0" fillId="0" borderId="6" xfId="0" applyFont="1" applyBorder="1" applyAlignment="1" applyProtection="1">
      <alignment horizontal="center"/>
    </xf>
    <xf numFmtId="2" fontId="0" fillId="4" borderId="6" xfId="0" applyNumberFormat="1" applyFont="1" applyFill="1" applyBorder="1" applyAlignment="1" applyProtection="1">
      <alignment horizontal="left"/>
    </xf>
    <xf numFmtId="2" fontId="0" fillId="0" borderId="6" xfId="0" applyNumberFormat="1" applyFont="1" applyBorder="1" applyAlignment="1" applyProtection="1">
      <alignment horizontal="center"/>
    </xf>
    <xf numFmtId="2" fontId="0" fillId="0" borderId="6" xfId="0" applyNumberFormat="1" applyFont="1" applyBorder="1" applyAlignment="1" applyProtection="1">
      <alignment horizontal="left"/>
    </xf>
    <xf numFmtId="0" fontId="0" fillId="0" borderId="6" xfId="0" applyFont="1" applyBorder="1" applyProtection="1"/>
    <xf numFmtId="165" fontId="0" fillId="6" borderId="6" xfId="0" applyNumberFormat="1" applyFont="1" applyFill="1" applyBorder="1" applyAlignment="1" applyProtection="1">
      <alignment horizontal="right"/>
    </xf>
    <xf numFmtId="168" fontId="0" fillId="6" borderId="6" xfId="0" applyNumberFormat="1" applyFill="1" applyBorder="1" applyAlignment="1" applyProtection="1">
      <alignment horizontal="right"/>
    </xf>
    <xf numFmtId="2" fontId="0" fillId="0" borderId="6" xfId="0" applyNumberFormat="1" applyBorder="1" applyAlignment="1" applyProtection="1">
      <alignment horizontal="right"/>
    </xf>
    <xf numFmtId="1" fontId="0" fillId="6" borderId="6" xfId="0" applyNumberFormat="1" applyFill="1" applyBorder="1" applyAlignment="1" applyProtection="1">
      <alignment horizontal="right"/>
    </xf>
    <xf numFmtId="0" fontId="39" fillId="0" borderId="6" xfId="0" applyFont="1" applyBorder="1" applyProtection="1"/>
    <xf numFmtId="0" fontId="39" fillId="0" borderId="6" xfId="0" applyFont="1" applyBorder="1" applyAlignment="1" applyProtection="1">
      <alignment horizontal="center"/>
    </xf>
    <xf numFmtId="2" fontId="39" fillId="6" borderId="6" xfId="0" applyNumberFormat="1" applyFont="1" applyFill="1" applyBorder="1" applyAlignment="1" applyProtection="1">
      <alignment horizontal="right"/>
    </xf>
    <xf numFmtId="0" fontId="43" fillId="0" borderId="6" xfId="0" applyFont="1" applyBorder="1" applyAlignment="1" applyProtection="1">
      <alignment horizontal="right"/>
    </xf>
    <xf numFmtId="169" fontId="0" fillId="6" borderId="6" xfId="0" applyNumberFormat="1" applyFill="1" applyBorder="1"/>
    <xf numFmtId="0" fontId="44" fillId="0" borderId="6" xfId="0" applyFont="1" applyBorder="1" applyAlignment="1" applyProtection="1"/>
    <xf numFmtId="166" fontId="0" fillId="6" borderId="6" xfId="0" applyNumberFormat="1" applyFill="1" applyBorder="1" applyProtection="1"/>
    <xf numFmtId="0" fontId="7" fillId="0" borderId="6" xfId="0" applyFont="1" applyBorder="1" applyAlignment="1" applyProtection="1"/>
    <xf numFmtId="0" fontId="39" fillId="0" borderId="6" xfId="0" applyFont="1" applyBorder="1" applyAlignment="1" applyProtection="1">
      <alignment horizontal="left"/>
    </xf>
    <xf numFmtId="165" fontId="0" fillId="6" borderId="6" xfId="0" applyNumberFormat="1" applyFill="1" applyBorder="1" applyProtection="1"/>
    <xf numFmtId="0" fontId="45" fillId="0" borderId="6" xfId="0" applyFont="1" applyFill="1" applyBorder="1" applyAlignment="1" applyProtection="1">
      <alignment horizontal="left"/>
    </xf>
    <xf numFmtId="0" fontId="0" fillId="6" borderId="6" xfId="0" applyFill="1" applyBorder="1" applyProtection="1"/>
    <xf numFmtId="0" fontId="9" fillId="0" borderId="6" xfId="0" applyFont="1" applyBorder="1" applyProtection="1"/>
    <xf numFmtId="0" fontId="46" fillId="0" borderId="6" xfId="0" applyFont="1" applyBorder="1" applyAlignment="1" applyProtection="1">
      <alignment horizontal="center"/>
    </xf>
    <xf numFmtId="165" fontId="47" fillId="5" borderId="6" xfId="0" applyNumberFormat="1" applyFont="1" applyFill="1" applyBorder="1" applyProtection="1"/>
    <xf numFmtId="0" fontId="40" fillId="0" borderId="6" xfId="0" applyFont="1" applyBorder="1" applyAlignment="1" applyProtection="1">
      <alignment horizontal="left"/>
    </xf>
    <xf numFmtId="0" fontId="48" fillId="0" borderId="6" xfId="0" applyFont="1" applyBorder="1" applyAlignment="1" applyProtection="1"/>
    <xf numFmtId="0" fontId="47" fillId="0" borderId="6" xfId="0" applyFont="1" applyBorder="1" applyProtection="1"/>
    <xf numFmtId="2" fontId="47" fillId="5" borderId="6" xfId="0" applyNumberFormat="1" applyFont="1" applyFill="1" applyBorder="1" applyAlignment="1" applyProtection="1">
      <alignment horizontal="right"/>
    </xf>
    <xf numFmtId="0" fontId="50" fillId="0" borderId="6" xfId="0" applyFont="1" applyFill="1" applyBorder="1" applyAlignment="1" applyProtection="1">
      <alignment horizontal="left"/>
    </xf>
    <xf numFmtId="164" fontId="9" fillId="5" borderId="6" xfId="0" applyNumberFormat="1" applyFont="1" applyFill="1" applyBorder="1" applyAlignment="1" applyProtection="1">
      <alignment horizontal="right"/>
    </xf>
    <xf numFmtId="0" fontId="46" fillId="0" borderId="6" xfId="0" applyFont="1" applyBorder="1" applyProtection="1"/>
    <xf numFmtId="164" fontId="46" fillId="6" borderId="6" xfId="0" applyNumberFormat="1" applyFont="1" applyFill="1" applyBorder="1" applyAlignment="1" applyProtection="1">
      <alignment horizontal="right"/>
    </xf>
    <xf numFmtId="0" fontId="39" fillId="0" borderId="6" xfId="0" applyFont="1" applyBorder="1" applyAlignment="1" applyProtection="1">
      <alignment horizontal="right"/>
    </xf>
    <xf numFmtId="0" fontId="40" fillId="0" borderId="6" xfId="0" applyFont="1" applyBorder="1" applyProtection="1"/>
    <xf numFmtId="0" fontId="47" fillId="5" borderId="6" xfId="0" applyFont="1" applyFill="1" applyBorder="1" applyAlignment="1" applyProtection="1">
      <alignment horizontal="right"/>
    </xf>
    <xf numFmtId="0" fontId="46" fillId="0" borderId="6" xfId="0" applyFont="1" applyBorder="1" applyAlignment="1" applyProtection="1">
      <alignment horizontal="left"/>
    </xf>
    <xf numFmtId="0" fontId="39" fillId="0" borderId="6" xfId="0" applyFont="1" applyBorder="1" applyAlignment="1" applyProtection="1"/>
    <xf numFmtId="0" fontId="0" fillId="0" borderId="0" xfId="0" applyAlignment="1" applyProtection="1">
      <alignment horizontal="right"/>
      <protection locked="0"/>
    </xf>
    <xf numFmtId="0" fontId="0" fillId="0" borderId="0" xfId="0" applyAlignment="1" applyProtection="1">
      <protection locked="0"/>
    </xf>
    <xf numFmtId="0" fontId="0" fillId="0" borderId="10" xfId="0" applyBorder="1" applyAlignment="1" applyProtection="1">
      <protection locked="0"/>
    </xf>
    <xf numFmtId="0" fontId="0" fillId="0" borderId="10" xfId="0" applyBorder="1" applyProtection="1">
      <protection locked="0"/>
    </xf>
    <xf numFmtId="0" fontId="0" fillId="0" borderId="10" xfId="0" applyBorder="1" applyAlignment="1" applyProtection="1">
      <alignment horizontal="right"/>
      <protection locked="0"/>
    </xf>
    <xf numFmtId="0" fontId="4" fillId="6" borderId="10" xfId="0" applyFont="1" applyFill="1" applyBorder="1" applyProtection="1">
      <protection locked="0"/>
    </xf>
    <xf numFmtId="0" fontId="4" fillId="6" borderId="10" xfId="0" applyFont="1" applyFill="1" applyBorder="1" applyAlignment="1" applyProtection="1">
      <alignment horizontal="right"/>
      <protection locked="0"/>
    </xf>
    <xf numFmtId="0" fontId="4" fillId="6" borderId="11" xfId="0" applyFont="1" applyFill="1" applyBorder="1" applyAlignment="1" applyProtection="1">
      <alignment horizontal="right"/>
      <protection locked="0"/>
    </xf>
    <xf numFmtId="0" fontId="4" fillId="6" borderId="6" xfId="0" applyFont="1" applyFill="1" applyBorder="1" applyAlignment="1" applyProtection="1">
      <alignment horizontal="right"/>
      <protection locked="0"/>
    </xf>
    <xf numFmtId="0" fontId="0" fillId="6" borderId="10" xfId="0" applyFill="1" applyBorder="1" applyProtection="1">
      <protection locked="0"/>
    </xf>
    <xf numFmtId="0" fontId="0" fillId="6" borderId="10" xfId="0" applyFill="1" applyBorder="1" applyAlignment="1" applyProtection="1">
      <alignment horizontal="right"/>
      <protection locked="0"/>
    </xf>
    <xf numFmtId="0" fontId="0" fillId="6" borderId="10" xfId="0" applyFill="1" applyBorder="1" applyAlignment="1" applyProtection="1">
      <protection locked="0"/>
    </xf>
    <xf numFmtId="0" fontId="0" fillId="6" borderId="11" xfId="0" applyFill="1" applyBorder="1" applyProtection="1">
      <protection locked="0"/>
    </xf>
    <xf numFmtId="0" fontId="0" fillId="6" borderId="6" xfId="0" applyFill="1" applyBorder="1" applyProtection="1">
      <protection locked="0"/>
    </xf>
    <xf numFmtId="165" fontId="4" fillId="4" borderId="6" xfId="0" applyNumberFormat="1" applyFont="1" applyFill="1" applyBorder="1" applyAlignment="1" applyProtection="1">
      <alignment horizontal="right"/>
      <protection locked="0"/>
    </xf>
    <xf numFmtId="0" fontId="51" fillId="0" borderId="6" xfId="0" applyFont="1" applyFill="1" applyBorder="1" applyAlignment="1" applyProtection="1">
      <alignment horizontal="left"/>
    </xf>
    <xf numFmtId="0" fontId="4" fillId="0" borderId="0" xfId="0" applyFont="1" applyProtection="1"/>
    <xf numFmtId="0" fontId="4" fillId="6" borderId="6" xfId="0" applyFont="1" applyFill="1" applyBorder="1" applyProtection="1"/>
    <xf numFmtId="0" fontId="33" fillId="0" borderId="0" xfId="0" applyFont="1" applyFill="1" applyProtection="1"/>
    <xf numFmtId="0" fontId="0" fillId="0" borderId="0" xfId="0" applyFill="1" applyProtection="1"/>
    <xf numFmtId="0" fontId="0" fillId="5" borderId="6" xfId="0" applyFill="1" applyBorder="1" applyProtection="1"/>
    <xf numFmtId="165" fontId="0" fillId="4" borderId="6" xfId="0" applyNumberFormat="1" applyFill="1" applyBorder="1" applyProtection="1">
      <protection locked="0"/>
    </xf>
    <xf numFmtId="0" fontId="30" fillId="5" borderId="6" xfId="0" applyFont="1" applyFill="1" applyBorder="1" applyProtection="1"/>
    <xf numFmtId="0" fontId="16" fillId="5" borderId="6" xfId="0" applyFont="1" applyFill="1" applyBorder="1" applyProtection="1"/>
    <xf numFmtId="0" fontId="0" fillId="4" borderId="6" xfId="0" applyFill="1" applyBorder="1" applyProtection="1">
      <protection locked="0"/>
    </xf>
    <xf numFmtId="0" fontId="52" fillId="0" borderId="0" xfId="0" applyFont="1" applyProtection="1"/>
    <xf numFmtId="0" fontId="0" fillId="5" borderId="6" xfId="0" applyFont="1" applyFill="1" applyBorder="1" applyProtection="1"/>
    <xf numFmtId="2" fontId="0" fillId="4" borderId="6" xfId="0" applyNumberFormat="1" applyFill="1" applyBorder="1" applyProtection="1">
      <protection locked="0"/>
    </xf>
    <xf numFmtId="0" fontId="42" fillId="5" borderId="6" xfId="0" applyFont="1" applyFill="1" applyBorder="1" applyProtection="1"/>
    <xf numFmtId="0" fontId="0" fillId="4" borderId="6" xfId="0" applyFont="1" applyFill="1" applyBorder="1" applyProtection="1">
      <protection locked="0"/>
    </xf>
    <xf numFmtId="2" fontId="4" fillId="5" borderId="6" xfId="0" applyNumberFormat="1" applyFont="1" applyFill="1" applyBorder="1" applyProtection="1"/>
    <xf numFmtId="165" fontId="0" fillId="5" borderId="6" xfId="0" applyNumberFormat="1" applyFill="1" applyBorder="1" applyProtection="1"/>
    <xf numFmtId="2" fontId="0" fillId="5" borderId="6" xfId="0" applyNumberFormat="1" applyFill="1" applyBorder="1" applyProtection="1"/>
    <xf numFmtId="0" fontId="0" fillId="8" borderId="0" xfId="0" applyFill="1" applyBorder="1" applyProtection="1"/>
    <xf numFmtId="0" fontId="0" fillId="0" borderId="6" xfId="0" applyFill="1" applyBorder="1" applyProtection="1">
      <protection locked="0"/>
    </xf>
    <xf numFmtId="165" fontId="46" fillId="5" borderId="6" xfId="0" applyNumberFormat="1" applyFont="1" applyFill="1" applyBorder="1" applyAlignment="1" applyProtection="1">
      <alignment horizontal="right"/>
      <protection locked="0"/>
    </xf>
    <xf numFmtId="2" fontId="46" fillId="5" borderId="6" xfId="0" applyNumberFormat="1" applyFont="1" applyFill="1" applyBorder="1" applyAlignment="1" applyProtection="1">
      <alignment horizontal="right"/>
      <protection locked="0"/>
    </xf>
    <xf numFmtId="165" fontId="33" fillId="4" borderId="6" xfId="0" applyNumberFormat="1" applyFont="1" applyFill="1" applyBorder="1" applyAlignment="1" applyProtection="1">
      <alignment horizontal="right"/>
      <protection locked="0"/>
    </xf>
    <xf numFmtId="165" fontId="0" fillId="6" borderId="6" xfId="0" applyNumberFormat="1" applyFill="1" applyBorder="1" applyAlignment="1" applyProtection="1">
      <alignment horizontal="right"/>
    </xf>
    <xf numFmtId="0" fontId="16" fillId="0" borderId="6" xfId="0" applyFont="1" applyFill="1" applyBorder="1" applyProtection="1"/>
    <xf numFmtId="1" fontId="16" fillId="6" borderId="6" xfId="0" applyNumberFormat="1" applyFont="1" applyFill="1" applyBorder="1" applyProtection="1">
      <protection locked="0"/>
    </xf>
    <xf numFmtId="168" fontId="16" fillId="6" borderId="6" xfId="0" applyNumberFormat="1" applyFont="1" applyFill="1" applyBorder="1" applyProtection="1">
      <protection locked="0"/>
    </xf>
    <xf numFmtId="0" fontId="16" fillId="6" borderId="6" xfId="0" applyFont="1" applyFill="1" applyBorder="1" applyProtection="1">
      <protection locked="0"/>
    </xf>
    <xf numFmtId="165" fontId="16" fillId="6" borderId="6" xfId="0" applyNumberFormat="1" applyFont="1" applyFill="1" applyBorder="1" applyProtection="1">
      <protection locked="0"/>
    </xf>
    <xf numFmtId="166" fontId="16" fillId="6" borderId="6" xfId="0" applyNumberFormat="1" applyFont="1" applyFill="1" applyBorder="1" applyProtection="1">
      <protection locked="0"/>
    </xf>
    <xf numFmtId="167" fontId="16" fillId="6" borderId="6" xfId="0" applyNumberFormat="1" applyFont="1" applyFill="1" applyBorder="1" applyProtection="1">
      <protection locked="0"/>
    </xf>
    <xf numFmtId="164" fontId="16" fillId="6" borderId="6" xfId="0" applyNumberFormat="1" applyFont="1" applyFill="1" applyBorder="1" applyProtection="1">
      <protection locked="0"/>
    </xf>
    <xf numFmtId="165" fontId="54" fillId="7" borderId="6" xfId="0" applyNumberFormat="1" applyFont="1" applyFill="1" applyBorder="1" applyAlignment="1" applyProtection="1">
      <alignment horizontal="right"/>
      <protection locked="0"/>
    </xf>
    <xf numFmtId="165" fontId="54" fillId="6" borderId="6" xfId="0" applyNumberFormat="1" applyFont="1" applyFill="1" applyBorder="1" applyAlignment="1" applyProtection="1">
      <alignment horizontal="right"/>
      <protection locked="0"/>
    </xf>
    <xf numFmtId="0" fontId="0" fillId="0" borderId="0" xfId="0" applyBorder="1" applyAlignment="1" applyProtection="1">
      <protection locked="0"/>
    </xf>
    <xf numFmtId="0" fontId="0" fillId="0" borderId="12" xfId="0" applyBorder="1" applyAlignment="1" applyProtection="1">
      <protection locked="0"/>
    </xf>
    <xf numFmtId="0" fontId="6" fillId="0" borderId="0" xfId="3" applyAlignment="1" applyProtection="1">
      <alignment horizontal="right"/>
    </xf>
    <xf numFmtId="165" fontId="0" fillId="4" borderId="6" xfId="0" applyNumberFormat="1" applyFont="1" applyFill="1" applyBorder="1" applyAlignment="1" applyProtection="1">
      <alignment horizontal="right"/>
      <protection locked="0"/>
    </xf>
    <xf numFmtId="0" fontId="53" fillId="6" borderId="6" xfId="0" applyFont="1" applyFill="1" applyBorder="1" applyProtection="1"/>
    <xf numFmtId="0" fontId="12" fillId="0" borderId="6" xfId="0" applyFont="1" applyFill="1" applyBorder="1" applyProtection="1"/>
    <xf numFmtId="0" fontId="4" fillId="0" borderId="6" xfId="0" applyFont="1" applyBorder="1" applyProtection="1"/>
    <xf numFmtId="0" fontId="0" fillId="0" borderId="6" xfId="0" applyBorder="1" applyAlignment="1" applyProtection="1">
      <alignment horizontal="right"/>
    </xf>
    <xf numFmtId="0" fontId="0" fillId="0" borderId="6" xfId="0" applyBorder="1" applyAlignment="1" applyProtection="1">
      <alignment horizontal="left"/>
    </xf>
    <xf numFmtId="0" fontId="39" fillId="0" borderId="6" xfId="0" applyFont="1" applyFill="1" applyBorder="1" applyAlignment="1" applyProtection="1">
      <alignment vertical="top" wrapText="1"/>
      <protection locked="0"/>
    </xf>
    <xf numFmtId="166" fontId="46" fillId="5" borderId="6" xfId="0" applyNumberFormat="1" applyFont="1" applyFill="1" applyBorder="1" applyAlignment="1" applyProtection="1">
      <alignment horizontal="right"/>
      <protection locked="0"/>
    </xf>
    <xf numFmtId="164" fontId="0" fillId="5" borderId="6" xfId="0" applyNumberFormat="1" applyFill="1" applyBorder="1" applyAlignment="1" applyProtection="1">
      <alignment horizontal="right"/>
      <protection locked="0"/>
    </xf>
    <xf numFmtId="166" fontId="46" fillId="4" borderId="6" xfId="0" applyNumberFormat="1" applyFont="1" applyFill="1" applyBorder="1" applyAlignment="1" applyProtection="1">
      <alignment horizontal="right"/>
      <protection locked="0"/>
    </xf>
    <xf numFmtId="166" fontId="0" fillId="5" borderId="6" xfId="0" applyNumberFormat="1" applyFill="1" applyBorder="1" applyAlignment="1" applyProtection="1">
      <alignment horizontal="right"/>
      <protection locked="0"/>
    </xf>
    <xf numFmtId="168" fontId="4" fillId="5" borderId="6" xfId="0" applyNumberFormat="1" applyFont="1" applyFill="1" applyBorder="1" applyProtection="1"/>
    <xf numFmtId="11" fontId="0" fillId="0" borderId="0" xfId="0" applyNumberFormat="1"/>
    <xf numFmtId="2" fontId="0" fillId="0" borderId="0" xfId="0" applyNumberFormat="1"/>
    <xf numFmtId="2" fontId="16" fillId="6" borderId="6" xfId="0" applyNumberFormat="1" applyFont="1" applyFill="1" applyBorder="1" applyProtection="1">
      <protection locked="0"/>
    </xf>
    <xf numFmtId="0" fontId="9" fillId="0" borderId="3" xfId="0" applyFont="1" applyBorder="1" applyAlignment="1" applyProtection="1">
      <alignment horizontal="center"/>
    </xf>
    <xf numFmtId="0" fontId="10" fillId="0" borderId="4" xfId="0" applyFont="1" applyBorder="1" applyAlignment="1" applyProtection="1">
      <alignment horizontal="center"/>
    </xf>
    <xf numFmtId="0" fontId="10" fillId="0" borderId="5" xfId="0" applyFont="1" applyBorder="1" applyAlignment="1" applyProtection="1">
      <alignment horizontal="center"/>
    </xf>
  </cellXfs>
  <cellStyles count="4">
    <cellStyle name="Hyperlink" xfId="3" builtinId="8"/>
    <cellStyle name="Input" xfId="1" builtinId="20"/>
    <cellStyle name="Normal" xfId="0" builtinId="0"/>
    <cellStyle name="Note" xfId="2" builtinId="10"/>
  </cellStyles>
  <dxfs count="10">
    <dxf>
      <font>
        <color theme="0"/>
      </font>
    </dxf>
    <dxf>
      <fill>
        <patternFill>
          <bgColor theme="0" tint="-0.14996795556505021"/>
        </patternFill>
      </fill>
    </dxf>
    <dxf>
      <font>
        <color rgb="FF9C0006"/>
      </font>
      <fill>
        <patternFill>
          <bgColor rgb="FFFFC7CE"/>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D$272" lockText="1" noThreeD="1"/>
</file>

<file path=xl/ctrlProps/ctrlProp3.xml><?xml version="1.0" encoding="utf-8"?>
<formControlPr xmlns="http://schemas.microsoft.com/office/spreadsheetml/2009/9/main" objectType="CheckBox" checked="Checked" fmlaLink="$D$271" lockText="1" noThreeD="1"/>
</file>

<file path=xl/drawings/drawing1.xml><?xml version="1.0" encoding="utf-8"?>
<xdr:wsDr xmlns:xdr="http://schemas.openxmlformats.org/drawingml/2006/spreadsheetDrawing" xmlns:a="http://schemas.openxmlformats.org/drawingml/2006/main">
  <xdr:twoCellAnchor editAs="oneCell">
    <xdr:from>
      <xdr:col>1</xdr:col>
      <xdr:colOff>419100</xdr:colOff>
      <xdr:row>5</xdr:row>
      <xdr:rowOff>38100</xdr:rowOff>
    </xdr:from>
    <xdr:to>
      <xdr:col>4</xdr:col>
      <xdr:colOff>190500</xdr:colOff>
      <xdr:row>22</xdr:row>
      <xdr:rowOff>95250</xdr:rowOff>
    </xdr:to>
    <xdr:sp macro="" textlink="">
      <xdr:nvSpPr>
        <xdr:cNvPr id="3" name="Object 1" hidden="1">
          <a:extLst>
            <a:ext uri="{63B3BB69-23CF-44E3-9099-C40C66FF867C}">
              <a14:compatExt xmlns:a14="http://schemas.microsoft.com/office/drawing/2010/main" spid="_x0000_s53249"/>
            </a:ext>
            <a:ext uri="{FF2B5EF4-FFF2-40B4-BE49-F238E27FC236}">
              <a16:creationId xmlns:a16="http://schemas.microsoft.com/office/drawing/2014/main" id="{00000000-0008-0000-0000-000003000000}"/>
            </a:ext>
          </a:extLst>
        </xdr:cNvPr>
        <xdr:cNvSpPr/>
      </xdr:nvSpPr>
      <xdr:spPr bwMode="auto">
        <a:xfrm>
          <a:off x="889000" y="1060450"/>
          <a:ext cx="4616450" cy="15176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3</xdr:col>
      <xdr:colOff>565150</xdr:colOff>
      <xdr:row>14</xdr:row>
      <xdr:rowOff>88900</xdr:rowOff>
    </xdr:from>
    <xdr:to>
      <xdr:col>4</xdr:col>
      <xdr:colOff>0</xdr:colOff>
      <xdr:row>18</xdr:row>
      <xdr:rowOff>192203</xdr:rowOff>
    </xdr:to>
    <xdr:sp macro="" textlink="">
      <xdr:nvSpPr>
        <xdr:cNvPr id="5" name="Object 3" hidden="1">
          <a:extLst>
            <a:ext uri="{63B3BB69-23CF-44E3-9099-C40C66FF867C}">
              <a14:compatExt xmlns:a14="http://schemas.microsoft.com/office/drawing/2010/main" spid="_x0000_s53251"/>
            </a:ext>
            <a:ext uri="{FF2B5EF4-FFF2-40B4-BE49-F238E27FC236}">
              <a16:creationId xmlns:a16="http://schemas.microsoft.com/office/drawing/2014/main" id="{00000000-0008-0000-0000-000005000000}"/>
            </a:ext>
          </a:extLst>
        </xdr:cNvPr>
        <xdr:cNvSpPr/>
      </xdr:nvSpPr>
      <xdr:spPr bwMode="auto">
        <a:xfrm>
          <a:off x="4622800" y="2768600"/>
          <a:ext cx="723900" cy="49530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LocksWithSheet="0"/>
  </xdr:twoCellAnchor>
  <mc:AlternateContent xmlns:mc="http://schemas.openxmlformats.org/markup-compatibility/2006">
    <mc:Choice xmlns:a14="http://schemas.microsoft.com/office/drawing/2010/main" Requires="a14">
      <xdr:twoCellAnchor>
        <xdr:from>
          <xdr:col>5</xdr:col>
          <xdr:colOff>342900</xdr:colOff>
          <xdr:row>247</xdr:row>
          <xdr:rowOff>104775</xdr:rowOff>
        </xdr:from>
        <xdr:to>
          <xdr:col>5</xdr:col>
          <xdr:colOff>2162175</xdr:colOff>
          <xdr:row>273</xdr:row>
          <xdr:rowOff>123825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Run FEMM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352425</xdr:colOff>
          <xdr:row>274</xdr:row>
          <xdr:rowOff>66675</xdr:rowOff>
        </xdr:from>
        <xdr:to>
          <xdr:col>5</xdr:col>
          <xdr:colOff>2162175</xdr:colOff>
          <xdr:row>275</xdr:row>
          <xdr:rowOff>85724</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Run Sensitivity 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352425</xdr:colOff>
          <xdr:row>275</xdr:row>
          <xdr:rowOff>104775</xdr:rowOff>
        </xdr:from>
        <xdr:to>
          <xdr:col>5</xdr:col>
          <xdr:colOff>1590675</xdr:colOff>
          <xdr:row>276</xdr:row>
          <xdr:rowOff>142876</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Save FEMM simulation</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femm.info/"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4" tint="0.59999389629810485"/>
  </sheetPr>
  <dimension ref="A1:AB333"/>
  <sheetViews>
    <sheetView tabSelected="1" topLeftCell="A14" zoomScale="82" zoomScaleNormal="82" workbookViewId="0">
      <selection activeCell="G24" sqref="G24"/>
    </sheetView>
  </sheetViews>
  <sheetFormatPr defaultRowHeight="15" x14ac:dyDescent="0.25"/>
  <cols>
    <col min="1" max="1" width="6.85546875" style="2" customWidth="1"/>
    <col min="2" max="2" width="42.140625" style="2" customWidth="1"/>
    <col min="3" max="3" width="8.85546875" style="2"/>
    <col min="4" max="4" width="18.42578125" style="3" customWidth="1"/>
    <col min="5" max="5" width="8.5703125" style="3" customWidth="1"/>
    <col min="6" max="6" width="52" style="6" customWidth="1"/>
    <col min="7" max="7" width="9.42578125" style="2" customWidth="1"/>
    <col min="8" max="9" width="8.85546875" style="2" customWidth="1"/>
    <col min="10" max="243" width="8.85546875" style="2"/>
    <col min="244" max="244" width="6.85546875" style="2" customWidth="1"/>
    <col min="245" max="245" width="42.140625" style="2" customWidth="1"/>
    <col min="246" max="246" width="8.85546875" style="2"/>
    <col min="247" max="247" width="17.42578125" style="2" customWidth="1"/>
    <col min="248" max="248" width="8.5703125" style="2" customWidth="1"/>
    <col min="249" max="249" width="0" style="2" hidden="1" customWidth="1"/>
    <col min="250" max="250" width="44.85546875" style="2" customWidth="1"/>
    <col min="251" max="252" width="8.85546875" style="2"/>
    <col min="253" max="253" width="3.140625" style="2" customWidth="1"/>
    <col min="254" max="254" width="3.85546875" style="2" customWidth="1"/>
    <col min="255" max="255" width="8.5703125" style="2" customWidth="1"/>
    <col min="256" max="256" width="8.85546875" style="2" customWidth="1"/>
    <col min="257" max="257" width="7.42578125" style="2" customWidth="1"/>
    <col min="258" max="258" width="8.140625" style="2" customWidth="1"/>
    <col min="259" max="259" width="8" style="2" customWidth="1"/>
    <col min="260" max="260" width="8.140625" style="2" customWidth="1"/>
    <col min="261" max="261" width="9" style="2" customWidth="1"/>
    <col min="262" max="262" width="9.140625" style="2" customWidth="1"/>
    <col min="263" max="263" width="8.5703125" style="2" customWidth="1"/>
    <col min="264" max="264" width="11.42578125" style="2" customWidth="1"/>
    <col min="265" max="499" width="8.85546875" style="2"/>
    <col min="500" max="500" width="6.85546875" style="2" customWidth="1"/>
    <col min="501" max="501" width="42.140625" style="2" customWidth="1"/>
    <col min="502" max="502" width="8.85546875" style="2"/>
    <col min="503" max="503" width="17.42578125" style="2" customWidth="1"/>
    <col min="504" max="504" width="8.5703125" style="2" customWidth="1"/>
    <col min="505" max="505" width="0" style="2" hidden="1" customWidth="1"/>
    <col min="506" max="506" width="44.85546875" style="2" customWidth="1"/>
    <col min="507" max="508" width="8.85546875" style="2"/>
    <col min="509" max="509" width="3.140625" style="2" customWidth="1"/>
    <col min="510" max="510" width="3.85546875" style="2" customWidth="1"/>
    <col min="511" max="511" width="8.5703125" style="2" customWidth="1"/>
    <col min="512" max="512" width="8.85546875" style="2" customWidth="1"/>
    <col min="513" max="513" width="7.42578125" style="2" customWidth="1"/>
    <col min="514" max="514" width="8.140625" style="2" customWidth="1"/>
    <col min="515" max="515" width="8" style="2" customWidth="1"/>
    <col min="516" max="516" width="8.140625" style="2" customWidth="1"/>
    <col min="517" max="517" width="9" style="2" customWidth="1"/>
    <col min="518" max="518" width="9.140625" style="2" customWidth="1"/>
    <col min="519" max="519" width="8.5703125" style="2" customWidth="1"/>
    <col min="520" max="520" width="11.42578125" style="2" customWidth="1"/>
    <col min="521" max="755" width="8.85546875" style="2"/>
    <col min="756" max="756" width="6.85546875" style="2" customWidth="1"/>
    <col min="757" max="757" width="42.140625" style="2" customWidth="1"/>
    <col min="758" max="758" width="8.85546875" style="2"/>
    <col min="759" max="759" width="17.42578125" style="2" customWidth="1"/>
    <col min="760" max="760" width="8.5703125" style="2" customWidth="1"/>
    <col min="761" max="761" width="0" style="2" hidden="1" customWidth="1"/>
    <col min="762" max="762" width="44.85546875" style="2" customWidth="1"/>
    <col min="763" max="764" width="8.85546875" style="2"/>
    <col min="765" max="765" width="3.140625" style="2" customWidth="1"/>
    <col min="766" max="766" width="3.85546875" style="2" customWidth="1"/>
    <col min="767" max="767" width="8.5703125" style="2" customWidth="1"/>
    <col min="768" max="768" width="8.85546875" style="2" customWidth="1"/>
    <col min="769" max="769" width="7.42578125" style="2" customWidth="1"/>
    <col min="770" max="770" width="8.140625" style="2" customWidth="1"/>
    <col min="771" max="771" width="8" style="2" customWidth="1"/>
    <col min="772" max="772" width="8.140625" style="2" customWidth="1"/>
    <col min="773" max="773" width="9" style="2" customWidth="1"/>
    <col min="774" max="774" width="9.140625" style="2" customWidth="1"/>
    <col min="775" max="775" width="8.5703125" style="2" customWidth="1"/>
    <col min="776" max="776" width="11.42578125" style="2" customWidth="1"/>
    <col min="777" max="1011" width="8.85546875" style="2"/>
    <col min="1012" max="1012" width="6.85546875" style="2" customWidth="1"/>
    <col min="1013" max="1013" width="42.140625" style="2" customWidth="1"/>
    <col min="1014" max="1014" width="8.85546875" style="2"/>
    <col min="1015" max="1015" width="17.42578125" style="2" customWidth="1"/>
    <col min="1016" max="1016" width="8.5703125" style="2" customWidth="1"/>
    <col min="1017" max="1017" width="0" style="2" hidden="1" customWidth="1"/>
    <col min="1018" max="1018" width="44.85546875" style="2" customWidth="1"/>
    <col min="1019" max="1020" width="8.85546875" style="2"/>
    <col min="1021" max="1021" width="3.140625" style="2" customWidth="1"/>
    <col min="1022" max="1022" width="3.85546875" style="2" customWidth="1"/>
    <col min="1023" max="1023" width="8.5703125" style="2" customWidth="1"/>
    <col min="1024" max="1024" width="8.85546875" style="2" customWidth="1"/>
    <col min="1025" max="1025" width="7.42578125" style="2" customWidth="1"/>
    <col min="1026" max="1026" width="8.140625" style="2" customWidth="1"/>
    <col min="1027" max="1027" width="8" style="2" customWidth="1"/>
    <col min="1028" max="1028" width="8.140625" style="2" customWidth="1"/>
    <col min="1029" max="1029" width="9" style="2" customWidth="1"/>
    <col min="1030" max="1030" width="9.140625" style="2" customWidth="1"/>
    <col min="1031" max="1031" width="8.5703125" style="2" customWidth="1"/>
    <col min="1032" max="1032" width="11.42578125" style="2" customWidth="1"/>
    <col min="1033" max="1267" width="8.85546875" style="2"/>
    <col min="1268" max="1268" width="6.85546875" style="2" customWidth="1"/>
    <col min="1269" max="1269" width="42.140625" style="2" customWidth="1"/>
    <col min="1270" max="1270" width="8.85546875" style="2"/>
    <col min="1271" max="1271" width="17.42578125" style="2" customWidth="1"/>
    <col min="1272" max="1272" width="8.5703125" style="2" customWidth="1"/>
    <col min="1273" max="1273" width="0" style="2" hidden="1" customWidth="1"/>
    <col min="1274" max="1274" width="44.85546875" style="2" customWidth="1"/>
    <col min="1275" max="1276" width="8.85546875" style="2"/>
    <col min="1277" max="1277" width="3.140625" style="2" customWidth="1"/>
    <col min="1278" max="1278" width="3.85546875" style="2" customWidth="1"/>
    <col min="1279" max="1279" width="8.5703125" style="2" customWidth="1"/>
    <col min="1280" max="1280" width="8.85546875" style="2" customWidth="1"/>
    <col min="1281" max="1281" width="7.42578125" style="2" customWidth="1"/>
    <col min="1282" max="1282" width="8.140625" style="2" customWidth="1"/>
    <col min="1283" max="1283" width="8" style="2" customWidth="1"/>
    <col min="1284" max="1284" width="8.140625" style="2" customWidth="1"/>
    <col min="1285" max="1285" width="9" style="2" customWidth="1"/>
    <col min="1286" max="1286" width="9.140625" style="2" customWidth="1"/>
    <col min="1287" max="1287" width="8.5703125" style="2" customWidth="1"/>
    <col min="1288" max="1288" width="11.42578125" style="2" customWidth="1"/>
    <col min="1289" max="1523" width="8.85546875" style="2"/>
    <col min="1524" max="1524" width="6.85546875" style="2" customWidth="1"/>
    <col min="1525" max="1525" width="42.140625" style="2" customWidth="1"/>
    <col min="1526" max="1526" width="8.85546875" style="2"/>
    <col min="1527" max="1527" width="17.42578125" style="2" customWidth="1"/>
    <col min="1528" max="1528" width="8.5703125" style="2" customWidth="1"/>
    <col min="1529" max="1529" width="0" style="2" hidden="1" customWidth="1"/>
    <col min="1530" max="1530" width="44.85546875" style="2" customWidth="1"/>
    <col min="1531" max="1532" width="8.85546875" style="2"/>
    <col min="1533" max="1533" width="3.140625" style="2" customWidth="1"/>
    <col min="1534" max="1534" width="3.85546875" style="2" customWidth="1"/>
    <col min="1535" max="1535" width="8.5703125" style="2" customWidth="1"/>
    <col min="1536" max="1536" width="8.85546875" style="2" customWidth="1"/>
    <col min="1537" max="1537" width="7.42578125" style="2" customWidth="1"/>
    <col min="1538" max="1538" width="8.140625" style="2" customWidth="1"/>
    <col min="1539" max="1539" width="8" style="2" customWidth="1"/>
    <col min="1540" max="1540" width="8.140625" style="2" customWidth="1"/>
    <col min="1541" max="1541" width="9" style="2" customWidth="1"/>
    <col min="1542" max="1542" width="9.140625" style="2" customWidth="1"/>
    <col min="1543" max="1543" width="8.5703125" style="2" customWidth="1"/>
    <col min="1544" max="1544" width="11.42578125" style="2" customWidth="1"/>
    <col min="1545" max="1779" width="8.85546875" style="2"/>
    <col min="1780" max="1780" width="6.85546875" style="2" customWidth="1"/>
    <col min="1781" max="1781" width="42.140625" style="2" customWidth="1"/>
    <col min="1782" max="1782" width="8.85546875" style="2"/>
    <col min="1783" max="1783" width="17.42578125" style="2" customWidth="1"/>
    <col min="1784" max="1784" width="8.5703125" style="2" customWidth="1"/>
    <col min="1785" max="1785" width="0" style="2" hidden="1" customWidth="1"/>
    <col min="1786" max="1786" width="44.85546875" style="2" customWidth="1"/>
    <col min="1787" max="1788" width="8.85546875" style="2"/>
    <col min="1789" max="1789" width="3.140625" style="2" customWidth="1"/>
    <col min="1790" max="1790" width="3.85546875" style="2" customWidth="1"/>
    <col min="1791" max="1791" width="8.5703125" style="2" customWidth="1"/>
    <col min="1792" max="1792" width="8.85546875" style="2" customWidth="1"/>
    <col min="1793" max="1793" width="7.42578125" style="2" customWidth="1"/>
    <col min="1794" max="1794" width="8.140625" style="2" customWidth="1"/>
    <col min="1795" max="1795" width="8" style="2" customWidth="1"/>
    <col min="1796" max="1796" width="8.140625" style="2" customWidth="1"/>
    <col min="1797" max="1797" width="9" style="2" customWidth="1"/>
    <col min="1798" max="1798" width="9.140625" style="2" customWidth="1"/>
    <col min="1799" max="1799" width="8.5703125" style="2" customWidth="1"/>
    <col min="1800" max="1800" width="11.42578125" style="2" customWidth="1"/>
    <col min="1801" max="2035" width="8.85546875" style="2"/>
    <col min="2036" max="2036" width="6.85546875" style="2" customWidth="1"/>
    <col min="2037" max="2037" width="42.140625" style="2" customWidth="1"/>
    <col min="2038" max="2038" width="8.85546875" style="2"/>
    <col min="2039" max="2039" width="17.42578125" style="2" customWidth="1"/>
    <col min="2040" max="2040" width="8.5703125" style="2" customWidth="1"/>
    <col min="2041" max="2041" width="0" style="2" hidden="1" customWidth="1"/>
    <col min="2042" max="2042" width="44.85546875" style="2" customWidth="1"/>
    <col min="2043" max="2044" width="8.85546875" style="2"/>
    <col min="2045" max="2045" width="3.140625" style="2" customWidth="1"/>
    <col min="2046" max="2046" width="3.85546875" style="2" customWidth="1"/>
    <col min="2047" max="2047" width="8.5703125" style="2" customWidth="1"/>
    <col min="2048" max="2048" width="8.85546875" style="2" customWidth="1"/>
    <col min="2049" max="2049" width="7.42578125" style="2" customWidth="1"/>
    <col min="2050" max="2050" width="8.140625" style="2" customWidth="1"/>
    <col min="2051" max="2051" width="8" style="2" customWidth="1"/>
    <col min="2052" max="2052" width="8.140625" style="2" customWidth="1"/>
    <col min="2053" max="2053" width="9" style="2" customWidth="1"/>
    <col min="2054" max="2054" width="9.140625" style="2" customWidth="1"/>
    <col min="2055" max="2055" width="8.5703125" style="2" customWidth="1"/>
    <col min="2056" max="2056" width="11.42578125" style="2" customWidth="1"/>
    <col min="2057" max="2291" width="8.85546875" style="2"/>
    <col min="2292" max="2292" width="6.85546875" style="2" customWidth="1"/>
    <col min="2293" max="2293" width="42.140625" style="2" customWidth="1"/>
    <col min="2294" max="2294" width="8.85546875" style="2"/>
    <col min="2295" max="2295" width="17.42578125" style="2" customWidth="1"/>
    <col min="2296" max="2296" width="8.5703125" style="2" customWidth="1"/>
    <col min="2297" max="2297" width="0" style="2" hidden="1" customWidth="1"/>
    <col min="2298" max="2298" width="44.85546875" style="2" customWidth="1"/>
    <col min="2299" max="2300" width="8.85546875" style="2"/>
    <col min="2301" max="2301" width="3.140625" style="2" customWidth="1"/>
    <col min="2302" max="2302" width="3.85546875" style="2" customWidth="1"/>
    <col min="2303" max="2303" width="8.5703125" style="2" customWidth="1"/>
    <col min="2304" max="2304" width="8.85546875" style="2" customWidth="1"/>
    <col min="2305" max="2305" width="7.42578125" style="2" customWidth="1"/>
    <col min="2306" max="2306" width="8.140625" style="2" customWidth="1"/>
    <col min="2307" max="2307" width="8" style="2" customWidth="1"/>
    <col min="2308" max="2308" width="8.140625" style="2" customWidth="1"/>
    <col min="2309" max="2309" width="9" style="2" customWidth="1"/>
    <col min="2310" max="2310" width="9.140625" style="2" customWidth="1"/>
    <col min="2311" max="2311" width="8.5703125" style="2" customWidth="1"/>
    <col min="2312" max="2312" width="11.42578125" style="2" customWidth="1"/>
    <col min="2313" max="2547" width="8.85546875" style="2"/>
    <col min="2548" max="2548" width="6.85546875" style="2" customWidth="1"/>
    <col min="2549" max="2549" width="42.140625" style="2" customWidth="1"/>
    <col min="2550" max="2550" width="8.85546875" style="2"/>
    <col min="2551" max="2551" width="17.42578125" style="2" customWidth="1"/>
    <col min="2552" max="2552" width="8.5703125" style="2" customWidth="1"/>
    <col min="2553" max="2553" width="0" style="2" hidden="1" customWidth="1"/>
    <col min="2554" max="2554" width="44.85546875" style="2" customWidth="1"/>
    <col min="2555" max="2556" width="8.85546875" style="2"/>
    <col min="2557" max="2557" width="3.140625" style="2" customWidth="1"/>
    <col min="2558" max="2558" width="3.85546875" style="2" customWidth="1"/>
    <col min="2559" max="2559" width="8.5703125" style="2" customWidth="1"/>
    <col min="2560" max="2560" width="8.85546875" style="2" customWidth="1"/>
    <col min="2561" max="2561" width="7.42578125" style="2" customWidth="1"/>
    <col min="2562" max="2562" width="8.140625" style="2" customWidth="1"/>
    <col min="2563" max="2563" width="8" style="2" customWidth="1"/>
    <col min="2564" max="2564" width="8.140625" style="2" customWidth="1"/>
    <col min="2565" max="2565" width="9" style="2" customWidth="1"/>
    <col min="2566" max="2566" width="9.140625" style="2" customWidth="1"/>
    <col min="2567" max="2567" width="8.5703125" style="2" customWidth="1"/>
    <col min="2568" max="2568" width="11.42578125" style="2" customWidth="1"/>
    <col min="2569" max="2803" width="8.85546875" style="2"/>
    <col min="2804" max="2804" width="6.85546875" style="2" customWidth="1"/>
    <col min="2805" max="2805" width="42.140625" style="2" customWidth="1"/>
    <col min="2806" max="2806" width="8.85546875" style="2"/>
    <col min="2807" max="2807" width="17.42578125" style="2" customWidth="1"/>
    <col min="2808" max="2808" width="8.5703125" style="2" customWidth="1"/>
    <col min="2809" max="2809" width="0" style="2" hidden="1" customWidth="1"/>
    <col min="2810" max="2810" width="44.85546875" style="2" customWidth="1"/>
    <col min="2811" max="2812" width="8.85546875" style="2"/>
    <col min="2813" max="2813" width="3.140625" style="2" customWidth="1"/>
    <col min="2814" max="2814" width="3.85546875" style="2" customWidth="1"/>
    <col min="2815" max="2815" width="8.5703125" style="2" customWidth="1"/>
    <col min="2816" max="2816" width="8.85546875" style="2" customWidth="1"/>
    <col min="2817" max="2817" width="7.42578125" style="2" customWidth="1"/>
    <col min="2818" max="2818" width="8.140625" style="2" customWidth="1"/>
    <col min="2819" max="2819" width="8" style="2" customWidth="1"/>
    <col min="2820" max="2820" width="8.140625" style="2" customWidth="1"/>
    <col min="2821" max="2821" width="9" style="2" customWidth="1"/>
    <col min="2822" max="2822" width="9.140625" style="2" customWidth="1"/>
    <col min="2823" max="2823" width="8.5703125" style="2" customWidth="1"/>
    <col min="2824" max="2824" width="11.42578125" style="2" customWidth="1"/>
    <col min="2825" max="3059" width="8.85546875" style="2"/>
    <col min="3060" max="3060" width="6.85546875" style="2" customWidth="1"/>
    <col min="3061" max="3061" width="42.140625" style="2" customWidth="1"/>
    <col min="3062" max="3062" width="8.85546875" style="2"/>
    <col min="3063" max="3063" width="17.42578125" style="2" customWidth="1"/>
    <col min="3064" max="3064" width="8.5703125" style="2" customWidth="1"/>
    <col min="3065" max="3065" width="0" style="2" hidden="1" customWidth="1"/>
    <col min="3066" max="3066" width="44.85546875" style="2" customWidth="1"/>
    <col min="3067" max="3068" width="8.85546875" style="2"/>
    <col min="3069" max="3069" width="3.140625" style="2" customWidth="1"/>
    <col min="3070" max="3070" width="3.85546875" style="2" customWidth="1"/>
    <col min="3071" max="3071" width="8.5703125" style="2" customWidth="1"/>
    <col min="3072" max="3072" width="8.85546875" style="2" customWidth="1"/>
    <col min="3073" max="3073" width="7.42578125" style="2" customWidth="1"/>
    <col min="3074" max="3074" width="8.140625" style="2" customWidth="1"/>
    <col min="3075" max="3075" width="8" style="2" customWidth="1"/>
    <col min="3076" max="3076" width="8.140625" style="2" customWidth="1"/>
    <col min="3077" max="3077" width="9" style="2" customWidth="1"/>
    <col min="3078" max="3078" width="9.140625" style="2" customWidth="1"/>
    <col min="3079" max="3079" width="8.5703125" style="2" customWidth="1"/>
    <col min="3080" max="3080" width="11.42578125" style="2" customWidth="1"/>
    <col min="3081" max="3315" width="8.85546875" style="2"/>
    <col min="3316" max="3316" width="6.85546875" style="2" customWidth="1"/>
    <col min="3317" max="3317" width="42.140625" style="2" customWidth="1"/>
    <col min="3318" max="3318" width="8.85546875" style="2"/>
    <col min="3319" max="3319" width="17.42578125" style="2" customWidth="1"/>
    <col min="3320" max="3320" width="8.5703125" style="2" customWidth="1"/>
    <col min="3321" max="3321" width="0" style="2" hidden="1" customWidth="1"/>
    <col min="3322" max="3322" width="44.85546875" style="2" customWidth="1"/>
    <col min="3323" max="3324" width="8.85546875" style="2"/>
    <col min="3325" max="3325" width="3.140625" style="2" customWidth="1"/>
    <col min="3326" max="3326" width="3.85546875" style="2" customWidth="1"/>
    <col min="3327" max="3327" width="8.5703125" style="2" customWidth="1"/>
    <col min="3328" max="3328" width="8.85546875" style="2" customWidth="1"/>
    <col min="3329" max="3329" width="7.42578125" style="2" customWidth="1"/>
    <col min="3330" max="3330" width="8.140625" style="2" customWidth="1"/>
    <col min="3331" max="3331" width="8" style="2" customWidth="1"/>
    <col min="3332" max="3332" width="8.140625" style="2" customWidth="1"/>
    <col min="3333" max="3333" width="9" style="2" customWidth="1"/>
    <col min="3334" max="3334" width="9.140625" style="2" customWidth="1"/>
    <col min="3335" max="3335" width="8.5703125" style="2" customWidth="1"/>
    <col min="3336" max="3336" width="11.42578125" style="2" customWidth="1"/>
    <col min="3337" max="3571" width="8.85546875" style="2"/>
    <col min="3572" max="3572" width="6.85546875" style="2" customWidth="1"/>
    <col min="3573" max="3573" width="42.140625" style="2" customWidth="1"/>
    <col min="3574" max="3574" width="8.85546875" style="2"/>
    <col min="3575" max="3575" width="17.42578125" style="2" customWidth="1"/>
    <col min="3576" max="3576" width="8.5703125" style="2" customWidth="1"/>
    <col min="3577" max="3577" width="0" style="2" hidden="1" customWidth="1"/>
    <col min="3578" max="3578" width="44.85546875" style="2" customWidth="1"/>
    <col min="3579" max="3580" width="8.85546875" style="2"/>
    <col min="3581" max="3581" width="3.140625" style="2" customWidth="1"/>
    <col min="3582" max="3582" width="3.85546875" style="2" customWidth="1"/>
    <col min="3583" max="3583" width="8.5703125" style="2" customWidth="1"/>
    <col min="3584" max="3584" width="8.85546875" style="2" customWidth="1"/>
    <col min="3585" max="3585" width="7.42578125" style="2" customWidth="1"/>
    <col min="3586" max="3586" width="8.140625" style="2" customWidth="1"/>
    <col min="3587" max="3587" width="8" style="2" customWidth="1"/>
    <col min="3588" max="3588" width="8.140625" style="2" customWidth="1"/>
    <col min="3589" max="3589" width="9" style="2" customWidth="1"/>
    <col min="3590" max="3590" width="9.140625" style="2" customWidth="1"/>
    <col min="3591" max="3591" width="8.5703125" style="2" customWidth="1"/>
    <col min="3592" max="3592" width="11.42578125" style="2" customWidth="1"/>
    <col min="3593" max="3827" width="8.85546875" style="2"/>
    <col min="3828" max="3828" width="6.85546875" style="2" customWidth="1"/>
    <col min="3829" max="3829" width="42.140625" style="2" customWidth="1"/>
    <col min="3830" max="3830" width="8.85546875" style="2"/>
    <col min="3831" max="3831" width="17.42578125" style="2" customWidth="1"/>
    <col min="3832" max="3832" width="8.5703125" style="2" customWidth="1"/>
    <col min="3833" max="3833" width="0" style="2" hidden="1" customWidth="1"/>
    <col min="3834" max="3834" width="44.85546875" style="2" customWidth="1"/>
    <col min="3835" max="3836" width="8.85546875" style="2"/>
    <col min="3837" max="3837" width="3.140625" style="2" customWidth="1"/>
    <col min="3838" max="3838" width="3.85546875" style="2" customWidth="1"/>
    <col min="3839" max="3839" width="8.5703125" style="2" customWidth="1"/>
    <col min="3840" max="3840" width="8.85546875" style="2" customWidth="1"/>
    <col min="3841" max="3841" width="7.42578125" style="2" customWidth="1"/>
    <col min="3842" max="3842" width="8.140625" style="2" customWidth="1"/>
    <col min="3843" max="3843" width="8" style="2" customWidth="1"/>
    <col min="3844" max="3844" width="8.140625" style="2" customWidth="1"/>
    <col min="3845" max="3845" width="9" style="2" customWidth="1"/>
    <col min="3846" max="3846" width="9.140625" style="2" customWidth="1"/>
    <col min="3847" max="3847" width="8.5703125" style="2" customWidth="1"/>
    <col min="3848" max="3848" width="11.42578125" style="2" customWidth="1"/>
    <col min="3849" max="4083" width="8.85546875" style="2"/>
    <col min="4084" max="4084" width="6.85546875" style="2" customWidth="1"/>
    <col min="4085" max="4085" width="42.140625" style="2" customWidth="1"/>
    <col min="4086" max="4086" width="8.85546875" style="2"/>
    <col min="4087" max="4087" width="17.42578125" style="2" customWidth="1"/>
    <col min="4088" max="4088" width="8.5703125" style="2" customWidth="1"/>
    <col min="4089" max="4089" width="0" style="2" hidden="1" customWidth="1"/>
    <col min="4090" max="4090" width="44.85546875" style="2" customWidth="1"/>
    <col min="4091" max="4092" width="8.85546875" style="2"/>
    <col min="4093" max="4093" width="3.140625" style="2" customWidth="1"/>
    <col min="4094" max="4094" width="3.85546875" style="2" customWidth="1"/>
    <col min="4095" max="4095" width="8.5703125" style="2" customWidth="1"/>
    <col min="4096" max="4096" width="8.85546875" style="2" customWidth="1"/>
    <col min="4097" max="4097" width="7.42578125" style="2" customWidth="1"/>
    <col min="4098" max="4098" width="8.140625" style="2" customWidth="1"/>
    <col min="4099" max="4099" width="8" style="2" customWidth="1"/>
    <col min="4100" max="4100" width="8.140625" style="2" customWidth="1"/>
    <col min="4101" max="4101" width="9" style="2" customWidth="1"/>
    <col min="4102" max="4102" width="9.140625" style="2" customWidth="1"/>
    <col min="4103" max="4103" width="8.5703125" style="2" customWidth="1"/>
    <col min="4104" max="4104" width="11.42578125" style="2" customWidth="1"/>
    <col min="4105" max="4339" width="8.85546875" style="2"/>
    <col min="4340" max="4340" width="6.85546875" style="2" customWidth="1"/>
    <col min="4341" max="4341" width="42.140625" style="2" customWidth="1"/>
    <col min="4342" max="4342" width="8.85546875" style="2"/>
    <col min="4343" max="4343" width="17.42578125" style="2" customWidth="1"/>
    <col min="4344" max="4344" width="8.5703125" style="2" customWidth="1"/>
    <col min="4345" max="4345" width="0" style="2" hidden="1" customWidth="1"/>
    <col min="4346" max="4346" width="44.85546875" style="2" customWidth="1"/>
    <col min="4347" max="4348" width="8.85546875" style="2"/>
    <col min="4349" max="4349" width="3.140625" style="2" customWidth="1"/>
    <col min="4350" max="4350" width="3.85546875" style="2" customWidth="1"/>
    <col min="4351" max="4351" width="8.5703125" style="2" customWidth="1"/>
    <col min="4352" max="4352" width="8.85546875" style="2" customWidth="1"/>
    <col min="4353" max="4353" width="7.42578125" style="2" customWidth="1"/>
    <col min="4354" max="4354" width="8.140625" style="2" customWidth="1"/>
    <col min="4355" max="4355" width="8" style="2" customWidth="1"/>
    <col min="4356" max="4356" width="8.140625" style="2" customWidth="1"/>
    <col min="4357" max="4357" width="9" style="2" customWidth="1"/>
    <col min="4358" max="4358" width="9.140625" style="2" customWidth="1"/>
    <col min="4359" max="4359" width="8.5703125" style="2" customWidth="1"/>
    <col min="4360" max="4360" width="11.42578125" style="2" customWidth="1"/>
    <col min="4361" max="4595" width="8.85546875" style="2"/>
    <col min="4596" max="4596" width="6.85546875" style="2" customWidth="1"/>
    <col min="4597" max="4597" width="42.140625" style="2" customWidth="1"/>
    <col min="4598" max="4598" width="8.85546875" style="2"/>
    <col min="4599" max="4599" width="17.42578125" style="2" customWidth="1"/>
    <col min="4600" max="4600" width="8.5703125" style="2" customWidth="1"/>
    <col min="4601" max="4601" width="0" style="2" hidden="1" customWidth="1"/>
    <col min="4602" max="4602" width="44.85546875" style="2" customWidth="1"/>
    <col min="4603" max="4604" width="8.85546875" style="2"/>
    <col min="4605" max="4605" width="3.140625" style="2" customWidth="1"/>
    <col min="4606" max="4606" width="3.85546875" style="2" customWidth="1"/>
    <col min="4607" max="4607" width="8.5703125" style="2" customWidth="1"/>
    <col min="4608" max="4608" width="8.85546875" style="2" customWidth="1"/>
    <col min="4609" max="4609" width="7.42578125" style="2" customWidth="1"/>
    <col min="4610" max="4610" width="8.140625" style="2" customWidth="1"/>
    <col min="4611" max="4611" width="8" style="2" customWidth="1"/>
    <col min="4612" max="4612" width="8.140625" style="2" customWidth="1"/>
    <col min="4613" max="4613" width="9" style="2" customWidth="1"/>
    <col min="4614" max="4614" width="9.140625" style="2" customWidth="1"/>
    <col min="4615" max="4615" width="8.5703125" style="2" customWidth="1"/>
    <col min="4616" max="4616" width="11.42578125" style="2" customWidth="1"/>
    <col min="4617" max="4851" width="8.85546875" style="2"/>
    <col min="4852" max="4852" width="6.85546875" style="2" customWidth="1"/>
    <col min="4853" max="4853" width="42.140625" style="2" customWidth="1"/>
    <col min="4854" max="4854" width="8.85546875" style="2"/>
    <col min="4855" max="4855" width="17.42578125" style="2" customWidth="1"/>
    <col min="4856" max="4856" width="8.5703125" style="2" customWidth="1"/>
    <col min="4857" max="4857" width="0" style="2" hidden="1" customWidth="1"/>
    <col min="4858" max="4858" width="44.85546875" style="2" customWidth="1"/>
    <col min="4859" max="4860" width="8.85546875" style="2"/>
    <col min="4861" max="4861" width="3.140625" style="2" customWidth="1"/>
    <col min="4862" max="4862" width="3.85546875" style="2" customWidth="1"/>
    <col min="4863" max="4863" width="8.5703125" style="2" customWidth="1"/>
    <col min="4864" max="4864" width="8.85546875" style="2" customWidth="1"/>
    <col min="4865" max="4865" width="7.42578125" style="2" customWidth="1"/>
    <col min="4866" max="4866" width="8.140625" style="2" customWidth="1"/>
    <col min="4867" max="4867" width="8" style="2" customWidth="1"/>
    <col min="4868" max="4868" width="8.140625" style="2" customWidth="1"/>
    <col min="4869" max="4869" width="9" style="2" customWidth="1"/>
    <col min="4870" max="4870" width="9.140625" style="2" customWidth="1"/>
    <col min="4871" max="4871" width="8.5703125" style="2" customWidth="1"/>
    <col min="4872" max="4872" width="11.42578125" style="2" customWidth="1"/>
    <col min="4873" max="5107" width="8.85546875" style="2"/>
    <col min="5108" max="5108" width="6.85546875" style="2" customWidth="1"/>
    <col min="5109" max="5109" width="42.140625" style="2" customWidth="1"/>
    <col min="5110" max="5110" width="8.85546875" style="2"/>
    <col min="5111" max="5111" width="17.42578125" style="2" customWidth="1"/>
    <col min="5112" max="5112" width="8.5703125" style="2" customWidth="1"/>
    <col min="5113" max="5113" width="0" style="2" hidden="1" customWidth="1"/>
    <col min="5114" max="5114" width="44.85546875" style="2" customWidth="1"/>
    <col min="5115" max="5116" width="8.85546875" style="2"/>
    <col min="5117" max="5117" width="3.140625" style="2" customWidth="1"/>
    <col min="5118" max="5118" width="3.85546875" style="2" customWidth="1"/>
    <col min="5119" max="5119" width="8.5703125" style="2" customWidth="1"/>
    <col min="5120" max="5120" width="8.85546875" style="2" customWidth="1"/>
    <col min="5121" max="5121" width="7.42578125" style="2" customWidth="1"/>
    <col min="5122" max="5122" width="8.140625" style="2" customWidth="1"/>
    <col min="5123" max="5123" width="8" style="2" customWidth="1"/>
    <col min="5124" max="5124" width="8.140625" style="2" customWidth="1"/>
    <col min="5125" max="5125" width="9" style="2" customWidth="1"/>
    <col min="5126" max="5126" width="9.140625" style="2" customWidth="1"/>
    <col min="5127" max="5127" width="8.5703125" style="2" customWidth="1"/>
    <col min="5128" max="5128" width="11.42578125" style="2" customWidth="1"/>
    <col min="5129" max="5363" width="8.85546875" style="2"/>
    <col min="5364" max="5364" width="6.85546875" style="2" customWidth="1"/>
    <col min="5365" max="5365" width="42.140625" style="2" customWidth="1"/>
    <col min="5366" max="5366" width="8.85546875" style="2"/>
    <col min="5367" max="5367" width="17.42578125" style="2" customWidth="1"/>
    <col min="5368" max="5368" width="8.5703125" style="2" customWidth="1"/>
    <col min="5369" max="5369" width="0" style="2" hidden="1" customWidth="1"/>
    <col min="5370" max="5370" width="44.85546875" style="2" customWidth="1"/>
    <col min="5371" max="5372" width="8.85546875" style="2"/>
    <col min="5373" max="5373" width="3.140625" style="2" customWidth="1"/>
    <col min="5374" max="5374" width="3.85546875" style="2" customWidth="1"/>
    <col min="5375" max="5375" width="8.5703125" style="2" customWidth="1"/>
    <col min="5376" max="5376" width="8.85546875" style="2" customWidth="1"/>
    <col min="5377" max="5377" width="7.42578125" style="2" customWidth="1"/>
    <col min="5378" max="5378" width="8.140625" style="2" customWidth="1"/>
    <col min="5379" max="5379" width="8" style="2" customWidth="1"/>
    <col min="5380" max="5380" width="8.140625" style="2" customWidth="1"/>
    <col min="5381" max="5381" width="9" style="2" customWidth="1"/>
    <col min="5382" max="5382" width="9.140625" style="2" customWidth="1"/>
    <col min="5383" max="5383" width="8.5703125" style="2" customWidth="1"/>
    <col min="5384" max="5384" width="11.42578125" style="2" customWidth="1"/>
    <col min="5385" max="5619" width="8.85546875" style="2"/>
    <col min="5620" max="5620" width="6.85546875" style="2" customWidth="1"/>
    <col min="5621" max="5621" width="42.140625" style="2" customWidth="1"/>
    <col min="5622" max="5622" width="8.85546875" style="2"/>
    <col min="5623" max="5623" width="17.42578125" style="2" customWidth="1"/>
    <col min="5624" max="5624" width="8.5703125" style="2" customWidth="1"/>
    <col min="5625" max="5625" width="0" style="2" hidden="1" customWidth="1"/>
    <col min="5626" max="5626" width="44.85546875" style="2" customWidth="1"/>
    <col min="5627" max="5628" width="8.85546875" style="2"/>
    <col min="5629" max="5629" width="3.140625" style="2" customWidth="1"/>
    <col min="5630" max="5630" width="3.85546875" style="2" customWidth="1"/>
    <col min="5631" max="5631" width="8.5703125" style="2" customWidth="1"/>
    <col min="5632" max="5632" width="8.85546875" style="2" customWidth="1"/>
    <col min="5633" max="5633" width="7.42578125" style="2" customWidth="1"/>
    <col min="5634" max="5634" width="8.140625" style="2" customWidth="1"/>
    <col min="5635" max="5635" width="8" style="2" customWidth="1"/>
    <col min="5636" max="5636" width="8.140625" style="2" customWidth="1"/>
    <col min="5637" max="5637" width="9" style="2" customWidth="1"/>
    <col min="5638" max="5638" width="9.140625" style="2" customWidth="1"/>
    <col min="5639" max="5639" width="8.5703125" style="2" customWidth="1"/>
    <col min="5640" max="5640" width="11.42578125" style="2" customWidth="1"/>
    <col min="5641" max="5875" width="8.85546875" style="2"/>
    <col min="5876" max="5876" width="6.85546875" style="2" customWidth="1"/>
    <col min="5877" max="5877" width="42.140625" style="2" customWidth="1"/>
    <col min="5878" max="5878" width="8.85546875" style="2"/>
    <col min="5879" max="5879" width="17.42578125" style="2" customWidth="1"/>
    <col min="5880" max="5880" width="8.5703125" style="2" customWidth="1"/>
    <col min="5881" max="5881" width="0" style="2" hidden="1" customWidth="1"/>
    <col min="5882" max="5882" width="44.85546875" style="2" customWidth="1"/>
    <col min="5883" max="5884" width="8.85546875" style="2"/>
    <col min="5885" max="5885" width="3.140625" style="2" customWidth="1"/>
    <col min="5886" max="5886" width="3.85546875" style="2" customWidth="1"/>
    <col min="5887" max="5887" width="8.5703125" style="2" customWidth="1"/>
    <col min="5888" max="5888" width="8.85546875" style="2" customWidth="1"/>
    <col min="5889" max="5889" width="7.42578125" style="2" customWidth="1"/>
    <col min="5890" max="5890" width="8.140625" style="2" customWidth="1"/>
    <col min="5891" max="5891" width="8" style="2" customWidth="1"/>
    <col min="5892" max="5892" width="8.140625" style="2" customWidth="1"/>
    <col min="5893" max="5893" width="9" style="2" customWidth="1"/>
    <col min="5894" max="5894" width="9.140625" style="2" customWidth="1"/>
    <col min="5895" max="5895" width="8.5703125" style="2" customWidth="1"/>
    <col min="5896" max="5896" width="11.42578125" style="2" customWidth="1"/>
    <col min="5897" max="6131" width="8.85546875" style="2"/>
    <col min="6132" max="6132" width="6.85546875" style="2" customWidth="1"/>
    <col min="6133" max="6133" width="42.140625" style="2" customWidth="1"/>
    <col min="6134" max="6134" width="8.85546875" style="2"/>
    <col min="6135" max="6135" width="17.42578125" style="2" customWidth="1"/>
    <col min="6136" max="6136" width="8.5703125" style="2" customWidth="1"/>
    <col min="6137" max="6137" width="0" style="2" hidden="1" customWidth="1"/>
    <col min="6138" max="6138" width="44.85546875" style="2" customWidth="1"/>
    <col min="6139" max="6140" width="8.85546875" style="2"/>
    <col min="6141" max="6141" width="3.140625" style="2" customWidth="1"/>
    <col min="6142" max="6142" width="3.85546875" style="2" customWidth="1"/>
    <col min="6143" max="6143" width="8.5703125" style="2" customWidth="1"/>
    <col min="6144" max="6144" width="8.85546875" style="2" customWidth="1"/>
    <col min="6145" max="6145" width="7.42578125" style="2" customWidth="1"/>
    <col min="6146" max="6146" width="8.140625" style="2" customWidth="1"/>
    <col min="6147" max="6147" width="8" style="2" customWidth="1"/>
    <col min="6148" max="6148" width="8.140625" style="2" customWidth="1"/>
    <col min="6149" max="6149" width="9" style="2" customWidth="1"/>
    <col min="6150" max="6150" width="9.140625" style="2" customWidth="1"/>
    <col min="6151" max="6151" width="8.5703125" style="2" customWidth="1"/>
    <col min="6152" max="6152" width="11.42578125" style="2" customWidth="1"/>
    <col min="6153" max="6387" width="8.85546875" style="2"/>
    <col min="6388" max="6388" width="6.85546875" style="2" customWidth="1"/>
    <col min="6389" max="6389" width="42.140625" style="2" customWidth="1"/>
    <col min="6390" max="6390" width="8.85546875" style="2"/>
    <col min="6391" max="6391" width="17.42578125" style="2" customWidth="1"/>
    <col min="6392" max="6392" width="8.5703125" style="2" customWidth="1"/>
    <col min="6393" max="6393" width="0" style="2" hidden="1" customWidth="1"/>
    <col min="6394" max="6394" width="44.85546875" style="2" customWidth="1"/>
    <col min="6395" max="6396" width="8.85546875" style="2"/>
    <col min="6397" max="6397" width="3.140625" style="2" customWidth="1"/>
    <col min="6398" max="6398" width="3.85546875" style="2" customWidth="1"/>
    <col min="6399" max="6399" width="8.5703125" style="2" customWidth="1"/>
    <col min="6400" max="6400" width="8.85546875" style="2" customWidth="1"/>
    <col min="6401" max="6401" width="7.42578125" style="2" customWidth="1"/>
    <col min="6402" max="6402" width="8.140625" style="2" customWidth="1"/>
    <col min="6403" max="6403" width="8" style="2" customWidth="1"/>
    <col min="6404" max="6404" width="8.140625" style="2" customWidth="1"/>
    <col min="6405" max="6405" width="9" style="2" customWidth="1"/>
    <col min="6406" max="6406" width="9.140625" style="2" customWidth="1"/>
    <col min="6407" max="6407" width="8.5703125" style="2" customWidth="1"/>
    <col min="6408" max="6408" width="11.42578125" style="2" customWidth="1"/>
    <col min="6409" max="6643" width="8.85546875" style="2"/>
    <col min="6644" max="6644" width="6.85546875" style="2" customWidth="1"/>
    <col min="6645" max="6645" width="42.140625" style="2" customWidth="1"/>
    <col min="6646" max="6646" width="8.85546875" style="2"/>
    <col min="6647" max="6647" width="17.42578125" style="2" customWidth="1"/>
    <col min="6648" max="6648" width="8.5703125" style="2" customWidth="1"/>
    <col min="6649" max="6649" width="0" style="2" hidden="1" customWidth="1"/>
    <col min="6650" max="6650" width="44.85546875" style="2" customWidth="1"/>
    <col min="6651" max="6652" width="8.85546875" style="2"/>
    <col min="6653" max="6653" width="3.140625" style="2" customWidth="1"/>
    <col min="6654" max="6654" width="3.85546875" style="2" customWidth="1"/>
    <col min="6655" max="6655" width="8.5703125" style="2" customWidth="1"/>
    <col min="6656" max="6656" width="8.85546875" style="2" customWidth="1"/>
    <col min="6657" max="6657" width="7.42578125" style="2" customWidth="1"/>
    <col min="6658" max="6658" width="8.140625" style="2" customWidth="1"/>
    <col min="6659" max="6659" width="8" style="2" customWidth="1"/>
    <col min="6660" max="6660" width="8.140625" style="2" customWidth="1"/>
    <col min="6661" max="6661" width="9" style="2" customWidth="1"/>
    <col min="6662" max="6662" width="9.140625" style="2" customWidth="1"/>
    <col min="6663" max="6663" width="8.5703125" style="2" customWidth="1"/>
    <col min="6664" max="6664" width="11.42578125" style="2" customWidth="1"/>
    <col min="6665" max="6899" width="8.85546875" style="2"/>
    <col min="6900" max="6900" width="6.85546875" style="2" customWidth="1"/>
    <col min="6901" max="6901" width="42.140625" style="2" customWidth="1"/>
    <col min="6902" max="6902" width="8.85546875" style="2"/>
    <col min="6903" max="6903" width="17.42578125" style="2" customWidth="1"/>
    <col min="6904" max="6904" width="8.5703125" style="2" customWidth="1"/>
    <col min="6905" max="6905" width="0" style="2" hidden="1" customWidth="1"/>
    <col min="6906" max="6906" width="44.85546875" style="2" customWidth="1"/>
    <col min="6907" max="6908" width="8.85546875" style="2"/>
    <col min="6909" max="6909" width="3.140625" style="2" customWidth="1"/>
    <col min="6910" max="6910" width="3.85546875" style="2" customWidth="1"/>
    <col min="6911" max="6911" width="8.5703125" style="2" customWidth="1"/>
    <col min="6912" max="6912" width="8.85546875" style="2" customWidth="1"/>
    <col min="6913" max="6913" width="7.42578125" style="2" customWidth="1"/>
    <col min="6914" max="6914" width="8.140625" style="2" customWidth="1"/>
    <col min="6915" max="6915" width="8" style="2" customWidth="1"/>
    <col min="6916" max="6916" width="8.140625" style="2" customWidth="1"/>
    <col min="6917" max="6917" width="9" style="2" customWidth="1"/>
    <col min="6918" max="6918" width="9.140625" style="2" customWidth="1"/>
    <col min="6919" max="6919" width="8.5703125" style="2" customWidth="1"/>
    <col min="6920" max="6920" width="11.42578125" style="2" customWidth="1"/>
    <col min="6921" max="7155" width="8.85546875" style="2"/>
    <col min="7156" max="7156" width="6.85546875" style="2" customWidth="1"/>
    <col min="7157" max="7157" width="42.140625" style="2" customWidth="1"/>
    <col min="7158" max="7158" width="8.85546875" style="2"/>
    <col min="7159" max="7159" width="17.42578125" style="2" customWidth="1"/>
    <col min="7160" max="7160" width="8.5703125" style="2" customWidth="1"/>
    <col min="7161" max="7161" width="0" style="2" hidden="1" customWidth="1"/>
    <col min="7162" max="7162" width="44.85546875" style="2" customWidth="1"/>
    <col min="7163" max="7164" width="8.85546875" style="2"/>
    <col min="7165" max="7165" width="3.140625" style="2" customWidth="1"/>
    <col min="7166" max="7166" width="3.85546875" style="2" customWidth="1"/>
    <col min="7167" max="7167" width="8.5703125" style="2" customWidth="1"/>
    <col min="7168" max="7168" width="8.85546875" style="2" customWidth="1"/>
    <col min="7169" max="7169" width="7.42578125" style="2" customWidth="1"/>
    <col min="7170" max="7170" width="8.140625" style="2" customWidth="1"/>
    <col min="7171" max="7171" width="8" style="2" customWidth="1"/>
    <col min="7172" max="7172" width="8.140625" style="2" customWidth="1"/>
    <col min="7173" max="7173" width="9" style="2" customWidth="1"/>
    <col min="7174" max="7174" width="9.140625" style="2" customWidth="1"/>
    <col min="7175" max="7175" width="8.5703125" style="2" customWidth="1"/>
    <col min="7176" max="7176" width="11.42578125" style="2" customWidth="1"/>
    <col min="7177" max="7411" width="8.85546875" style="2"/>
    <col min="7412" max="7412" width="6.85546875" style="2" customWidth="1"/>
    <col min="7413" max="7413" width="42.140625" style="2" customWidth="1"/>
    <col min="7414" max="7414" width="8.85546875" style="2"/>
    <col min="7415" max="7415" width="17.42578125" style="2" customWidth="1"/>
    <col min="7416" max="7416" width="8.5703125" style="2" customWidth="1"/>
    <col min="7417" max="7417" width="0" style="2" hidden="1" customWidth="1"/>
    <col min="7418" max="7418" width="44.85546875" style="2" customWidth="1"/>
    <col min="7419" max="7420" width="8.85546875" style="2"/>
    <col min="7421" max="7421" width="3.140625" style="2" customWidth="1"/>
    <col min="7422" max="7422" width="3.85546875" style="2" customWidth="1"/>
    <col min="7423" max="7423" width="8.5703125" style="2" customWidth="1"/>
    <col min="7424" max="7424" width="8.85546875" style="2" customWidth="1"/>
    <col min="7425" max="7425" width="7.42578125" style="2" customWidth="1"/>
    <col min="7426" max="7426" width="8.140625" style="2" customWidth="1"/>
    <col min="7427" max="7427" width="8" style="2" customWidth="1"/>
    <col min="7428" max="7428" width="8.140625" style="2" customWidth="1"/>
    <col min="7429" max="7429" width="9" style="2" customWidth="1"/>
    <col min="7430" max="7430" width="9.140625" style="2" customWidth="1"/>
    <col min="7431" max="7431" width="8.5703125" style="2" customWidth="1"/>
    <col min="7432" max="7432" width="11.42578125" style="2" customWidth="1"/>
    <col min="7433" max="7667" width="8.85546875" style="2"/>
    <col min="7668" max="7668" width="6.85546875" style="2" customWidth="1"/>
    <col min="7669" max="7669" width="42.140625" style="2" customWidth="1"/>
    <col min="7670" max="7670" width="8.85546875" style="2"/>
    <col min="7671" max="7671" width="17.42578125" style="2" customWidth="1"/>
    <col min="7672" max="7672" width="8.5703125" style="2" customWidth="1"/>
    <col min="7673" max="7673" width="0" style="2" hidden="1" customWidth="1"/>
    <col min="7674" max="7674" width="44.85546875" style="2" customWidth="1"/>
    <col min="7675" max="7676" width="8.85546875" style="2"/>
    <col min="7677" max="7677" width="3.140625" style="2" customWidth="1"/>
    <col min="7678" max="7678" width="3.85546875" style="2" customWidth="1"/>
    <col min="7679" max="7679" width="8.5703125" style="2" customWidth="1"/>
    <col min="7680" max="7680" width="8.85546875" style="2" customWidth="1"/>
    <col min="7681" max="7681" width="7.42578125" style="2" customWidth="1"/>
    <col min="7682" max="7682" width="8.140625" style="2" customWidth="1"/>
    <col min="7683" max="7683" width="8" style="2" customWidth="1"/>
    <col min="7684" max="7684" width="8.140625" style="2" customWidth="1"/>
    <col min="7685" max="7685" width="9" style="2" customWidth="1"/>
    <col min="7686" max="7686" width="9.140625" style="2" customWidth="1"/>
    <col min="7687" max="7687" width="8.5703125" style="2" customWidth="1"/>
    <col min="7688" max="7688" width="11.42578125" style="2" customWidth="1"/>
    <col min="7689" max="7923" width="8.85546875" style="2"/>
    <col min="7924" max="7924" width="6.85546875" style="2" customWidth="1"/>
    <col min="7925" max="7925" width="42.140625" style="2" customWidth="1"/>
    <col min="7926" max="7926" width="8.85546875" style="2"/>
    <col min="7927" max="7927" width="17.42578125" style="2" customWidth="1"/>
    <col min="7928" max="7928" width="8.5703125" style="2" customWidth="1"/>
    <col min="7929" max="7929" width="0" style="2" hidden="1" customWidth="1"/>
    <col min="7930" max="7930" width="44.85546875" style="2" customWidth="1"/>
    <col min="7931" max="7932" width="8.85546875" style="2"/>
    <col min="7933" max="7933" width="3.140625" style="2" customWidth="1"/>
    <col min="7934" max="7934" width="3.85546875" style="2" customWidth="1"/>
    <col min="7935" max="7935" width="8.5703125" style="2" customWidth="1"/>
    <col min="7936" max="7936" width="8.85546875" style="2" customWidth="1"/>
    <col min="7937" max="7937" width="7.42578125" style="2" customWidth="1"/>
    <col min="7938" max="7938" width="8.140625" style="2" customWidth="1"/>
    <col min="7939" max="7939" width="8" style="2" customWidth="1"/>
    <col min="7940" max="7940" width="8.140625" style="2" customWidth="1"/>
    <col min="7941" max="7941" width="9" style="2" customWidth="1"/>
    <col min="7942" max="7942" width="9.140625" style="2" customWidth="1"/>
    <col min="7943" max="7943" width="8.5703125" style="2" customWidth="1"/>
    <col min="7944" max="7944" width="11.42578125" style="2" customWidth="1"/>
    <col min="7945" max="8179" width="8.85546875" style="2"/>
    <col min="8180" max="8180" width="6.85546875" style="2" customWidth="1"/>
    <col min="8181" max="8181" width="42.140625" style="2" customWidth="1"/>
    <col min="8182" max="8182" width="8.85546875" style="2"/>
    <col min="8183" max="8183" width="17.42578125" style="2" customWidth="1"/>
    <col min="8184" max="8184" width="8.5703125" style="2" customWidth="1"/>
    <col min="8185" max="8185" width="0" style="2" hidden="1" customWidth="1"/>
    <col min="8186" max="8186" width="44.85546875" style="2" customWidth="1"/>
    <col min="8187" max="8188" width="8.85546875" style="2"/>
    <col min="8189" max="8189" width="3.140625" style="2" customWidth="1"/>
    <col min="8190" max="8190" width="3.85546875" style="2" customWidth="1"/>
    <col min="8191" max="8191" width="8.5703125" style="2" customWidth="1"/>
    <col min="8192" max="8192" width="8.85546875" style="2" customWidth="1"/>
    <col min="8193" max="8193" width="7.42578125" style="2" customWidth="1"/>
    <col min="8194" max="8194" width="8.140625" style="2" customWidth="1"/>
    <col min="8195" max="8195" width="8" style="2" customWidth="1"/>
    <col min="8196" max="8196" width="8.140625" style="2" customWidth="1"/>
    <col min="8197" max="8197" width="9" style="2" customWidth="1"/>
    <col min="8198" max="8198" width="9.140625" style="2" customWidth="1"/>
    <col min="8199" max="8199" width="8.5703125" style="2" customWidth="1"/>
    <col min="8200" max="8200" width="11.42578125" style="2" customWidth="1"/>
    <col min="8201" max="8435" width="8.85546875" style="2"/>
    <col min="8436" max="8436" width="6.85546875" style="2" customWidth="1"/>
    <col min="8437" max="8437" width="42.140625" style="2" customWidth="1"/>
    <col min="8438" max="8438" width="8.85546875" style="2"/>
    <col min="8439" max="8439" width="17.42578125" style="2" customWidth="1"/>
    <col min="8440" max="8440" width="8.5703125" style="2" customWidth="1"/>
    <col min="8441" max="8441" width="0" style="2" hidden="1" customWidth="1"/>
    <col min="8442" max="8442" width="44.85546875" style="2" customWidth="1"/>
    <col min="8443" max="8444" width="8.85546875" style="2"/>
    <col min="8445" max="8445" width="3.140625" style="2" customWidth="1"/>
    <col min="8446" max="8446" width="3.85546875" style="2" customWidth="1"/>
    <col min="8447" max="8447" width="8.5703125" style="2" customWidth="1"/>
    <col min="8448" max="8448" width="8.85546875" style="2" customWidth="1"/>
    <col min="8449" max="8449" width="7.42578125" style="2" customWidth="1"/>
    <col min="8450" max="8450" width="8.140625" style="2" customWidth="1"/>
    <col min="8451" max="8451" width="8" style="2" customWidth="1"/>
    <col min="8452" max="8452" width="8.140625" style="2" customWidth="1"/>
    <col min="8453" max="8453" width="9" style="2" customWidth="1"/>
    <col min="8454" max="8454" width="9.140625" style="2" customWidth="1"/>
    <col min="8455" max="8455" width="8.5703125" style="2" customWidth="1"/>
    <col min="8456" max="8456" width="11.42578125" style="2" customWidth="1"/>
    <col min="8457" max="8691" width="8.85546875" style="2"/>
    <col min="8692" max="8692" width="6.85546875" style="2" customWidth="1"/>
    <col min="8693" max="8693" width="42.140625" style="2" customWidth="1"/>
    <col min="8694" max="8694" width="8.85546875" style="2"/>
    <col min="8695" max="8695" width="17.42578125" style="2" customWidth="1"/>
    <col min="8696" max="8696" width="8.5703125" style="2" customWidth="1"/>
    <col min="8697" max="8697" width="0" style="2" hidden="1" customWidth="1"/>
    <col min="8698" max="8698" width="44.85546875" style="2" customWidth="1"/>
    <col min="8699" max="8700" width="8.85546875" style="2"/>
    <col min="8701" max="8701" width="3.140625" style="2" customWidth="1"/>
    <col min="8702" max="8702" width="3.85546875" style="2" customWidth="1"/>
    <col min="8703" max="8703" width="8.5703125" style="2" customWidth="1"/>
    <col min="8704" max="8704" width="8.85546875" style="2" customWidth="1"/>
    <col min="8705" max="8705" width="7.42578125" style="2" customWidth="1"/>
    <col min="8706" max="8706" width="8.140625" style="2" customWidth="1"/>
    <col min="8707" max="8707" width="8" style="2" customWidth="1"/>
    <col min="8708" max="8708" width="8.140625" style="2" customWidth="1"/>
    <col min="8709" max="8709" width="9" style="2" customWidth="1"/>
    <col min="8710" max="8710" width="9.140625" style="2" customWidth="1"/>
    <col min="8711" max="8711" width="8.5703125" style="2" customWidth="1"/>
    <col min="8712" max="8712" width="11.42578125" style="2" customWidth="1"/>
    <col min="8713" max="8947" width="8.85546875" style="2"/>
    <col min="8948" max="8948" width="6.85546875" style="2" customWidth="1"/>
    <col min="8949" max="8949" width="42.140625" style="2" customWidth="1"/>
    <col min="8950" max="8950" width="8.85546875" style="2"/>
    <col min="8951" max="8951" width="17.42578125" style="2" customWidth="1"/>
    <col min="8952" max="8952" width="8.5703125" style="2" customWidth="1"/>
    <col min="8953" max="8953" width="0" style="2" hidden="1" customWidth="1"/>
    <col min="8954" max="8954" width="44.85546875" style="2" customWidth="1"/>
    <col min="8955" max="8956" width="8.85546875" style="2"/>
    <col min="8957" max="8957" width="3.140625" style="2" customWidth="1"/>
    <col min="8958" max="8958" width="3.85546875" style="2" customWidth="1"/>
    <col min="8959" max="8959" width="8.5703125" style="2" customWidth="1"/>
    <col min="8960" max="8960" width="8.85546875" style="2" customWidth="1"/>
    <col min="8961" max="8961" width="7.42578125" style="2" customWidth="1"/>
    <col min="8962" max="8962" width="8.140625" style="2" customWidth="1"/>
    <col min="8963" max="8963" width="8" style="2" customWidth="1"/>
    <col min="8964" max="8964" width="8.140625" style="2" customWidth="1"/>
    <col min="8965" max="8965" width="9" style="2" customWidth="1"/>
    <col min="8966" max="8966" width="9.140625" style="2" customWidth="1"/>
    <col min="8967" max="8967" width="8.5703125" style="2" customWidth="1"/>
    <col min="8968" max="8968" width="11.42578125" style="2" customWidth="1"/>
    <col min="8969" max="9203" width="8.85546875" style="2"/>
    <col min="9204" max="9204" width="6.85546875" style="2" customWidth="1"/>
    <col min="9205" max="9205" width="42.140625" style="2" customWidth="1"/>
    <col min="9206" max="9206" width="8.85546875" style="2"/>
    <col min="9207" max="9207" width="17.42578125" style="2" customWidth="1"/>
    <col min="9208" max="9208" width="8.5703125" style="2" customWidth="1"/>
    <col min="9209" max="9209" width="0" style="2" hidden="1" customWidth="1"/>
    <col min="9210" max="9210" width="44.85546875" style="2" customWidth="1"/>
    <col min="9211" max="9212" width="8.85546875" style="2"/>
    <col min="9213" max="9213" width="3.140625" style="2" customWidth="1"/>
    <col min="9214" max="9214" width="3.85546875" style="2" customWidth="1"/>
    <col min="9215" max="9215" width="8.5703125" style="2" customWidth="1"/>
    <col min="9216" max="9216" width="8.85546875" style="2" customWidth="1"/>
    <col min="9217" max="9217" width="7.42578125" style="2" customWidth="1"/>
    <col min="9218" max="9218" width="8.140625" style="2" customWidth="1"/>
    <col min="9219" max="9219" width="8" style="2" customWidth="1"/>
    <col min="9220" max="9220" width="8.140625" style="2" customWidth="1"/>
    <col min="9221" max="9221" width="9" style="2" customWidth="1"/>
    <col min="9222" max="9222" width="9.140625" style="2" customWidth="1"/>
    <col min="9223" max="9223" width="8.5703125" style="2" customWidth="1"/>
    <col min="9224" max="9224" width="11.42578125" style="2" customWidth="1"/>
    <col min="9225" max="9459" width="8.85546875" style="2"/>
    <col min="9460" max="9460" width="6.85546875" style="2" customWidth="1"/>
    <col min="9461" max="9461" width="42.140625" style="2" customWidth="1"/>
    <col min="9462" max="9462" width="8.85546875" style="2"/>
    <col min="9463" max="9463" width="17.42578125" style="2" customWidth="1"/>
    <col min="9464" max="9464" width="8.5703125" style="2" customWidth="1"/>
    <col min="9465" max="9465" width="0" style="2" hidden="1" customWidth="1"/>
    <col min="9466" max="9466" width="44.85546875" style="2" customWidth="1"/>
    <col min="9467" max="9468" width="8.85546875" style="2"/>
    <col min="9469" max="9469" width="3.140625" style="2" customWidth="1"/>
    <col min="9470" max="9470" width="3.85546875" style="2" customWidth="1"/>
    <col min="9471" max="9471" width="8.5703125" style="2" customWidth="1"/>
    <col min="9472" max="9472" width="8.85546875" style="2" customWidth="1"/>
    <col min="9473" max="9473" width="7.42578125" style="2" customWidth="1"/>
    <col min="9474" max="9474" width="8.140625" style="2" customWidth="1"/>
    <col min="9475" max="9475" width="8" style="2" customWidth="1"/>
    <col min="9476" max="9476" width="8.140625" style="2" customWidth="1"/>
    <col min="9477" max="9477" width="9" style="2" customWidth="1"/>
    <col min="9478" max="9478" width="9.140625" style="2" customWidth="1"/>
    <col min="9479" max="9479" width="8.5703125" style="2" customWidth="1"/>
    <col min="9480" max="9480" width="11.42578125" style="2" customWidth="1"/>
    <col min="9481" max="9715" width="8.85546875" style="2"/>
    <col min="9716" max="9716" width="6.85546875" style="2" customWidth="1"/>
    <col min="9717" max="9717" width="42.140625" style="2" customWidth="1"/>
    <col min="9718" max="9718" width="8.85546875" style="2"/>
    <col min="9719" max="9719" width="17.42578125" style="2" customWidth="1"/>
    <col min="9720" max="9720" width="8.5703125" style="2" customWidth="1"/>
    <col min="9721" max="9721" width="0" style="2" hidden="1" customWidth="1"/>
    <col min="9722" max="9722" width="44.85546875" style="2" customWidth="1"/>
    <col min="9723" max="9724" width="8.85546875" style="2"/>
    <col min="9725" max="9725" width="3.140625" style="2" customWidth="1"/>
    <col min="9726" max="9726" width="3.85546875" style="2" customWidth="1"/>
    <col min="9727" max="9727" width="8.5703125" style="2" customWidth="1"/>
    <col min="9728" max="9728" width="8.85546875" style="2" customWidth="1"/>
    <col min="9729" max="9729" width="7.42578125" style="2" customWidth="1"/>
    <col min="9730" max="9730" width="8.140625" style="2" customWidth="1"/>
    <col min="9731" max="9731" width="8" style="2" customWidth="1"/>
    <col min="9732" max="9732" width="8.140625" style="2" customWidth="1"/>
    <col min="9733" max="9733" width="9" style="2" customWidth="1"/>
    <col min="9734" max="9734" width="9.140625" style="2" customWidth="1"/>
    <col min="9735" max="9735" width="8.5703125" style="2" customWidth="1"/>
    <col min="9736" max="9736" width="11.42578125" style="2" customWidth="1"/>
    <col min="9737" max="9971" width="8.85546875" style="2"/>
    <col min="9972" max="9972" width="6.85546875" style="2" customWidth="1"/>
    <col min="9973" max="9973" width="42.140625" style="2" customWidth="1"/>
    <col min="9974" max="9974" width="8.85546875" style="2"/>
    <col min="9975" max="9975" width="17.42578125" style="2" customWidth="1"/>
    <col min="9976" max="9976" width="8.5703125" style="2" customWidth="1"/>
    <col min="9977" max="9977" width="0" style="2" hidden="1" customWidth="1"/>
    <col min="9978" max="9978" width="44.85546875" style="2" customWidth="1"/>
    <col min="9979" max="9980" width="8.85546875" style="2"/>
    <col min="9981" max="9981" width="3.140625" style="2" customWidth="1"/>
    <col min="9982" max="9982" width="3.85546875" style="2" customWidth="1"/>
    <col min="9983" max="9983" width="8.5703125" style="2" customWidth="1"/>
    <col min="9984" max="9984" width="8.85546875" style="2" customWidth="1"/>
    <col min="9985" max="9985" width="7.42578125" style="2" customWidth="1"/>
    <col min="9986" max="9986" width="8.140625" style="2" customWidth="1"/>
    <col min="9987" max="9987" width="8" style="2" customWidth="1"/>
    <col min="9988" max="9988" width="8.140625" style="2" customWidth="1"/>
    <col min="9989" max="9989" width="9" style="2" customWidth="1"/>
    <col min="9990" max="9990" width="9.140625" style="2" customWidth="1"/>
    <col min="9991" max="9991" width="8.5703125" style="2" customWidth="1"/>
    <col min="9992" max="9992" width="11.42578125" style="2" customWidth="1"/>
    <col min="9993" max="10227" width="8.85546875" style="2"/>
    <col min="10228" max="10228" width="6.85546875" style="2" customWidth="1"/>
    <col min="10229" max="10229" width="42.140625" style="2" customWidth="1"/>
    <col min="10230" max="10230" width="8.85546875" style="2"/>
    <col min="10231" max="10231" width="17.42578125" style="2" customWidth="1"/>
    <col min="10232" max="10232" width="8.5703125" style="2" customWidth="1"/>
    <col min="10233" max="10233" width="0" style="2" hidden="1" customWidth="1"/>
    <col min="10234" max="10234" width="44.85546875" style="2" customWidth="1"/>
    <col min="10235" max="10236" width="8.85546875" style="2"/>
    <col min="10237" max="10237" width="3.140625" style="2" customWidth="1"/>
    <col min="10238" max="10238" width="3.85546875" style="2" customWidth="1"/>
    <col min="10239" max="10239" width="8.5703125" style="2" customWidth="1"/>
    <col min="10240" max="10240" width="8.85546875" style="2" customWidth="1"/>
    <col min="10241" max="10241" width="7.42578125" style="2" customWidth="1"/>
    <col min="10242" max="10242" width="8.140625" style="2" customWidth="1"/>
    <col min="10243" max="10243" width="8" style="2" customWidth="1"/>
    <col min="10244" max="10244" width="8.140625" style="2" customWidth="1"/>
    <col min="10245" max="10245" width="9" style="2" customWidth="1"/>
    <col min="10246" max="10246" width="9.140625" style="2" customWidth="1"/>
    <col min="10247" max="10247" width="8.5703125" style="2" customWidth="1"/>
    <col min="10248" max="10248" width="11.42578125" style="2" customWidth="1"/>
    <col min="10249" max="10483" width="8.85546875" style="2"/>
    <col min="10484" max="10484" width="6.85546875" style="2" customWidth="1"/>
    <col min="10485" max="10485" width="42.140625" style="2" customWidth="1"/>
    <col min="10486" max="10486" width="8.85546875" style="2"/>
    <col min="10487" max="10487" width="17.42578125" style="2" customWidth="1"/>
    <col min="10488" max="10488" width="8.5703125" style="2" customWidth="1"/>
    <col min="10489" max="10489" width="0" style="2" hidden="1" customWidth="1"/>
    <col min="10490" max="10490" width="44.85546875" style="2" customWidth="1"/>
    <col min="10491" max="10492" width="8.85546875" style="2"/>
    <col min="10493" max="10493" width="3.140625" style="2" customWidth="1"/>
    <col min="10494" max="10494" width="3.85546875" style="2" customWidth="1"/>
    <col min="10495" max="10495" width="8.5703125" style="2" customWidth="1"/>
    <col min="10496" max="10496" width="8.85546875" style="2" customWidth="1"/>
    <col min="10497" max="10497" width="7.42578125" style="2" customWidth="1"/>
    <col min="10498" max="10498" width="8.140625" style="2" customWidth="1"/>
    <col min="10499" max="10499" width="8" style="2" customWidth="1"/>
    <col min="10500" max="10500" width="8.140625" style="2" customWidth="1"/>
    <col min="10501" max="10501" width="9" style="2" customWidth="1"/>
    <col min="10502" max="10502" width="9.140625" style="2" customWidth="1"/>
    <col min="10503" max="10503" width="8.5703125" style="2" customWidth="1"/>
    <col min="10504" max="10504" width="11.42578125" style="2" customWidth="1"/>
    <col min="10505" max="10739" width="8.85546875" style="2"/>
    <col min="10740" max="10740" width="6.85546875" style="2" customWidth="1"/>
    <col min="10741" max="10741" width="42.140625" style="2" customWidth="1"/>
    <col min="10742" max="10742" width="8.85546875" style="2"/>
    <col min="10743" max="10743" width="17.42578125" style="2" customWidth="1"/>
    <col min="10744" max="10744" width="8.5703125" style="2" customWidth="1"/>
    <col min="10745" max="10745" width="0" style="2" hidden="1" customWidth="1"/>
    <col min="10746" max="10746" width="44.85546875" style="2" customWidth="1"/>
    <col min="10747" max="10748" width="8.85546875" style="2"/>
    <col min="10749" max="10749" width="3.140625" style="2" customWidth="1"/>
    <col min="10750" max="10750" width="3.85546875" style="2" customWidth="1"/>
    <col min="10751" max="10751" width="8.5703125" style="2" customWidth="1"/>
    <col min="10752" max="10752" width="8.85546875" style="2" customWidth="1"/>
    <col min="10753" max="10753" width="7.42578125" style="2" customWidth="1"/>
    <col min="10754" max="10754" width="8.140625" style="2" customWidth="1"/>
    <col min="10755" max="10755" width="8" style="2" customWidth="1"/>
    <col min="10756" max="10756" width="8.140625" style="2" customWidth="1"/>
    <col min="10757" max="10757" width="9" style="2" customWidth="1"/>
    <col min="10758" max="10758" width="9.140625" style="2" customWidth="1"/>
    <col min="10759" max="10759" width="8.5703125" style="2" customWidth="1"/>
    <col min="10760" max="10760" width="11.42578125" style="2" customWidth="1"/>
    <col min="10761" max="10995" width="8.85546875" style="2"/>
    <col min="10996" max="10996" width="6.85546875" style="2" customWidth="1"/>
    <col min="10997" max="10997" width="42.140625" style="2" customWidth="1"/>
    <col min="10998" max="10998" width="8.85546875" style="2"/>
    <col min="10999" max="10999" width="17.42578125" style="2" customWidth="1"/>
    <col min="11000" max="11000" width="8.5703125" style="2" customWidth="1"/>
    <col min="11001" max="11001" width="0" style="2" hidden="1" customWidth="1"/>
    <col min="11002" max="11002" width="44.85546875" style="2" customWidth="1"/>
    <col min="11003" max="11004" width="8.85546875" style="2"/>
    <col min="11005" max="11005" width="3.140625" style="2" customWidth="1"/>
    <col min="11006" max="11006" width="3.85546875" style="2" customWidth="1"/>
    <col min="11007" max="11007" width="8.5703125" style="2" customWidth="1"/>
    <col min="11008" max="11008" width="8.85546875" style="2" customWidth="1"/>
    <col min="11009" max="11009" width="7.42578125" style="2" customWidth="1"/>
    <col min="11010" max="11010" width="8.140625" style="2" customWidth="1"/>
    <col min="11011" max="11011" width="8" style="2" customWidth="1"/>
    <col min="11012" max="11012" width="8.140625" style="2" customWidth="1"/>
    <col min="11013" max="11013" width="9" style="2" customWidth="1"/>
    <col min="11014" max="11014" width="9.140625" style="2" customWidth="1"/>
    <col min="11015" max="11015" width="8.5703125" style="2" customWidth="1"/>
    <col min="11016" max="11016" width="11.42578125" style="2" customWidth="1"/>
    <col min="11017" max="11251" width="8.85546875" style="2"/>
    <col min="11252" max="11252" width="6.85546875" style="2" customWidth="1"/>
    <col min="11253" max="11253" width="42.140625" style="2" customWidth="1"/>
    <col min="11254" max="11254" width="8.85546875" style="2"/>
    <col min="11255" max="11255" width="17.42578125" style="2" customWidth="1"/>
    <col min="11256" max="11256" width="8.5703125" style="2" customWidth="1"/>
    <col min="11257" max="11257" width="0" style="2" hidden="1" customWidth="1"/>
    <col min="11258" max="11258" width="44.85546875" style="2" customWidth="1"/>
    <col min="11259" max="11260" width="8.85546875" style="2"/>
    <col min="11261" max="11261" width="3.140625" style="2" customWidth="1"/>
    <col min="11262" max="11262" width="3.85546875" style="2" customWidth="1"/>
    <col min="11263" max="11263" width="8.5703125" style="2" customWidth="1"/>
    <col min="11264" max="11264" width="8.85546875" style="2" customWidth="1"/>
    <col min="11265" max="11265" width="7.42578125" style="2" customWidth="1"/>
    <col min="11266" max="11266" width="8.140625" style="2" customWidth="1"/>
    <col min="11267" max="11267" width="8" style="2" customWidth="1"/>
    <col min="11268" max="11268" width="8.140625" style="2" customWidth="1"/>
    <col min="11269" max="11269" width="9" style="2" customWidth="1"/>
    <col min="11270" max="11270" width="9.140625" style="2" customWidth="1"/>
    <col min="11271" max="11271" width="8.5703125" style="2" customWidth="1"/>
    <col min="11272" max="11272" width="11.42578125" style="2" customWidth="1"/>
    <col min="11273" max="11507" width="8.85546875" style="2"/>
    <col min="11508" max="11508" width="6.85546875" style="2" customWidth="1"/>
    <col min="11509" max="11509" width="42.140625" style="2" customWidth="1"/>
    <col min="11510" max="11510" width="8.85546875" style="2"/>
    <col min="11511" max="11511" width="17.42578125" style="2" customWidth="1"/>
    <col min="11512" max="11512" width="8.5703125" style="2" customWidth="1"/>
    <col min="11513" max="11513" width="0" style="2" hidden="1" customWidth="1"/>
    <col min="11514" max="11514" width="44.85546875" style="2" customWidth="1"/>
    <col min="11515" max="11516" width="8.85546875" style="2"/>
    <col min="11517" max="11517" width="3.140625" style="2" customWidth="1"/>
    <col min="11518" max="11518" width="3.85546875" style="2" customWidth="1"/>
    <col min="11519" max="11519" width="8.5703125" style="2" customWidth="1"/>
    <col min="11520" max="11520" width="8.85546875" style="2" customWidth="1"/>
    <col min="11521" max="11521" width="7.42578125" style="2" customWidth="1"/>
    <col min="11522" max="11522" width="8.140625" style="2" customWidth="1"/>
    <col min="11523" max="11523" width="8" style="2" customWidth="1"/>
    <col min="11524" max="11524" width="8.140625" style="2" customWidth="1"/>
    <col min="11525" max="11525" width="9" style="2" customWidth="1"/>
    <col min="11526" max="11526" width="9.140625" style="2" customWidth="1"/>
    <col min="11527" max="11527" width="8.5703125" style="2" customWidth="1"/>
    <col min="11528" max="11528" width="11.42578125" style="2" customWidth="1"/>
    <col min="11529" max="11763" width="8.85546875" style="2"/>
    <col min="11764" max="11764" width="6.85546875" style="2" customWidth="1"/>
    <col min="11765" max="11765" width="42.140625" style="2" customWidth="1"/>
    <col min="11766" max="11766" width="8.85546875" style="2"/>
    <col min="11767" max="11767" width="17.42578125" style="2" customWidth="1"/>
    <col min="11768" max="11768" width="8.5703125" style="2" customWidth="1"/>
    <col min="11769" max="11769" width="0" style="2" hidden="1" customWidth="1"/>
    <col min="11770" max="11770" width="44.85546875" style="2" customWidth="1"/>
    <col min="11771" max="11772" width="8.85546875" style="2"/>
    <col min="11773" max="11773" width="3.140625" style="2" customWidth="1"/>
    <col min="11774" max="11774" width="3.85546875" style="2" customWidth="1"/>
    <col min="11775" max="11775" width="8.5703125" style="2" customWidth="1"/>
    <col min="11776" max="11776" width="8.85546875" style="2" customWidth="1"/>
    <col min="11777" max="11777" width="7.42578125" style="2" customWidth="1"/>
    <col min="11778" max="11778" width="8.140625" style="2" customWidth="1"/>
    <col min="11779" max="11779" width="8" style="2" customWidth="1"/>
    <col min="11780" max="11780" width="8.140625" style="2" customWidth="1"/>
    <col min="11781" max="11781" width="9" style="2" customWidth="1"/>
    <col min="11782" max="11782" width="9.140625" style="2" customWidth="1"/>
    <col min="11783" max="11783" width="8.5703125" style="2" customWidth="1"/>
    <col min="11784" max="11784" width="11.42578125" style="2" customWidth="1"/>
    <col min="11785" max="12019" width="8.85546875" style="2"/>
    <col min="12020" max="12020" width="6.85546875" style="2" customWidth="1"/>
    <col min="12021" max="12021" width="42.140625" style="2" customWidth="1"/>
    <col min="12022" max="12022" width="8.85546875" style="2"/>
    <col min="12023" max="12023" width="17.42578125" style="2" customWidth="1"/>
    <col min="12024" max="12024" width="8.5703125" style="2" customWidth="1"/>
    <col min="12025" max="12025" width="0" style="2" hidden="1" customWidth="1"/>
    <col min="12026" max="12026" width="44.85546875" style="2" customWidth="1"/>
    <col min="12027" max="12028" width="8.85546875" style="2"/>
    <col min="12029" max="12029" width="3.140625" style="2" customWidth="1"/>
    <col min="12030" max="12030" width="3.85546875" style="2" customWidth="1"/>
    <col min="12031" max="12031" width="8.5703125" style="2" customWidth="1"/>
    <col min="12032" max="12032" width="8.85546875" style="2" customWidth="1"/>
    <col min="12033" max="12033" width="7.42578125" style="2" customWidth="1"/>
    <col min="12034" max="12034" width="8.140625" style="2" customWidth="1"/>
    <col min="12035" max="12035" width="8" style="2" customWidth="1"/>
    <col min="12036" max="12036" width="8.140625" style="2" customWidth="1"/>
    <col min="12037" max="12037" width="9" style="2" customWidth="1"/>
    <col min="12038" max="12038" width="9.140625" style="2" customWidth="1"/>
    <col min="12039" max="12039" width="8.5703125" style="2" customWidth="1"/>
    <col min="12040" max="12040" width="11.42578125" style="2" customWidth="1"/>
    <col min="12041" max="12275" width="8.85546875" style="2"/>
    <col min="12276" max="12276" width="6.85546875" style="2" customWidth="1"/>
    <col min="12277" max="12277" width="42.140625" style="2" customWidth="1"/>
    <col min="12278" max="12278" width="8.85546875" style="2"/>
    <col min="12279" max="12279" width="17.42578125" style="2" customWidth="1"/>
    <col min="12280" max="12280" width="8.5703125" style="2" customWidth="1"/>
    <col min="12281" max="12281" width="0" style="2" hidden="1" customWidth="1"/>
    <col min="12282" max="12282" width="44.85546875" style="2" customWidth="1"/>
    <col min="12283" max="12284" width="8.85546875" style="2"/>
    <col min="12285" max="12285" width="3.140625" style="2" customWidth="1"/>
    <col min="12286" max="12286" width="3.85546875" style="2" customWidth="1"/>
    <col min="12287" max="12287" width="8.5703125" style="2" customWidth="1"/>
    <col min="12288" max="12288" width="8.85546875" style="2" customWidth="1"/>
    <col min="12289" max="12289" width="7.42578125" style="2" customWidth="1"/>
    <col min="12290" max="12290" width="8.140625" style="2" customWidth="1"/>
    <col min="12291" max="12291" width="8" style="2" customWidth="1"/>
    <col min="12292" max="12292" width="8.140625" style="2" customWidth="1"/>
    <col min="12293" max="12293" width="9" style="2" customWidth="1"/>
    <col min="12294" max="12294" width="9.140625" style="2" customWidth="1"/>
    <col min="12295" max="12295" width="8.5703125" style="2" customWidth="1"/>
    <col min="12296" max="12296" width="11.42578125" style="2" customWidth="1"/>
    <col min="12297" max="12531" width="8.85546875" style="2"/>
    <col min="12532" max="12532" width="6.85546875" style="2" customWidth="1"/>
    <col min="12533" max="12533" width="42.140625" style="2" customWidth="1"/>
    <col min="12534" max="12534" width="8.85546875" style="2"/>
    <col min="12535" max="12535" width="17.42578125" style="2" customWidth="1"/>
    <col min="12536" max="12536" width="8.5703125" style="2" customWidth="1"/>
    <col min="12537" max="12537" width="0" style="2" hidden="1" customWidth="1"/>
    <col min="12538" max="12538" width="44.85546875" style="2" customWidth="1"/>
    <col min="12539" max="12540" width="8.85546875" style="2"/>
    <col min="12541" max="12541" width="3.140625" style="2" customWidth="1"/>
    <col min="12542" max="12542" width="3.85546875" style="2" customWidth="1"/>
    <col min="12543" max="12543" width="8.5703125" style="2" customWidth="1"/>
    <col min="12544" max="12544" width="8.85546875" style="2" customWidth="1"/>
    <col min="12545" max="12545" width="7.42578125" style="2" customWidth="1"/>
    <col min="12546" max="12546" width="8.140625" style="2" customWidth="1"/>
    <col min="12547" max="12547" width="8" style="2" customWidth="1"/>
    <col min="12548" max="12548" width="8.140625" style="2" customWidth="1"/>
    <col min="12549" max="12549" width="9" style="2" customWidth="1"/>
    <col min="12550" max="12550" width="9.140625" style="2" customWidth="1"/>
    <col min="12551" max="12551" width="8.5703125" style="2" customWidth="1"/>
    <col min="12552" max="12552" width="11.42578125" style="2" customWidth="1"/>
    <col min="12553" max="12787" width="8.85546875" style="2"/>
    <col min="12788" max="12788" width="6.85546875" style="2" customWidth="1"/>
    <col min="12789" max="12789" width="42.140625" style="2" customWidth="1"/>
    <col min="12790" max="12790" width="8.85546875" style="2"/>
    <col min="12791" max="12791" width="17.42578125" style="2" customWidth="1"/>
    <col min="12792" max="12792" width="8.5703125" style="2" customWidth="1"/>
    <col min="12793" max="12793" width="0" style="2" hidden="1" customWidth="1"/>
    <col min="12794" max="12794" width="44.85546875" style="2" customWidth="1"/>
    <col min="12795" max="12796" width="8.85546875" style="2"/>
    <col min="12797" max="12797" width="3.140625" style="2" customWidth="1"/>
    <col min="12798" max="12798" width="3.85546875" style="2" customWidth="1"/>
    <col min="12799" max="12799" width="8.5703125" style="2" customWidth="1"/>
    <col min="12800" max="12800" width="8.85546875" style="2" customWidth="1"/>
    <col min="12801" max="12801" width="7.42578125" style="2" customWidth="1"/>
    <col min="12802" max="12802" width="8.140625" style="2" customWidth="1"/>
    <col min="12803" max="12803" width="8" style="2" customWidth="1"/>
    <col min="12804" max="12804" width="8.140625" style="2" customWidth="1"/>
    <col min="12805" max="12805" width="9" style="2" customWidth="1"/>
    <col min="12806" max="12806" width="9.140625" style="2" customWidth="1"/>
    <col min="12807" max="12807" width="8.5703125" style="2" customWidth="1"/>
    <col min="12808" max="12808" width="11.42578125" style="2" customWidth="1"/>
    <col min="12809" max="13043" width="8.85546875" style="2"/>
    <col min="13044" max="13044" width="6.85546875" style="2" customWidth="1"/>
    <col min="13045" max="13045" width="42.140625" style="2" customWidth="1"/>
    <col min="13046" max="13046" width="8.85546875" style="2"/>
    <col min="13047" max="13047" width="17.42578125" style="2" customWidth="1"/>
    <col min="13048" max="13048" width="8.5703125" style="2" customWidth="1"/>
    <col min="13049" max="13049" width="0" style="2" hidden="1" customWidth="1"/>
    <col min="13050" max="13050" width="44.85546875" style="2" customWidth="1"/>
    <col min="13051" max="13052" width="8.85546875" style="2"/>
    <col min="13053" max="13053" width="3.140625" style="2" customWidth="1"/>
    <col min="13054" max="13054" width="3.85546875" style="2" customWidth="1"/>
    <col min="13055" max="13055" width="8.5703125" style="2" customWidth="1"/>
    <col min="13056" max="13056" width="8.85546875" style="2" customWidth="1"/>
    <col min="13057" max="13057" width="7.42578125" style="2" customWidth="1"/>
    <col min="13058" max="13058" width="8.140625" style="2" customWidth="1"/>
    <col min="13059" max="13059" width="8" style="2" customWidth="1"/>
    <col min="13060" max="13060" width="8.140625" style="2" customWidth="1"/>
    <col min="13061" max="13061" width="9" style="2" customWidth="1"/>
    <col min="13062" max="13062" width="9.140625" style="2" customWidth="1"/>
    <col min="13063" max="13063" width="8.5703125" style="2" customWidth="1"/>
    <col min="13064" max="13064" width="11.42578125" style="2" customWidth="1"/>
    <col min="13065" max="13299" width="8.85546875" style="2"/>
    <col min="13300" max="13300" width="6.85546875" style="2" customWidth="1"/>
    <col min="13301" max="13301" width="42.140625" style="2" customWidth="1"/>
    <col min="13302" max="13302" width="8.85546875" style="2"/>
    <col min="13303" max="13303" width="17.42578125" style="2" customWidth="1"/>
    <col min="13304" max="13304" width="8.5703125" style="2" customWidth="1"/>
    <col min="13305" max="13305" width="0" style="2" hidden="1" customWidth="1"/>
    <col min="13306" max="13306" width="44.85546875" style="2" customWidth="1"/>
    <col min="13307" max="13308" width="8.85546875" style="2"/>
    <col min="13309" max="13309" width="3.140625" style="2" customWidth="1"/>
    <col min="13310" max="13310" width="3.85546875" style="2" customWidth="1"/>
    <col min="13311" max="13311" width="8.5703125" style="2" customWidth="1"/>
    <col min="13312" max="13312" width="8.85546875" style="2" customWidth="1"/>
    <col min="13313" max="13313" width="7.42578125" style="2" customWidth="1"/>
    <col min="13314" max="13314" width="8.140625" style="2" customWidth="1"/>
    <col min="13315" max="13315" width="8" style="2" customWidth="1"/>
    <col min="13316" max="13316" width="8.140625" style="2" customWidth="1"/>
    <col min="13317" max="13317" width="9" style="2" customWidth="1"/>
    <col min="13318" max="13318" width="9.140625" style="2" customWidth="1"/>
    <col min="13319" max="13319" width="8.5703125" style="2" customWidth="1"/>
    <col min="13320" max="13320" width="11.42578125" style="2" customWidth="1"/>
    <col min="13321" max="13555" width="8.85546875" style="2"/>
    <col min="13556" max="13556" width="6.85546875" style="2" customWidth="1"/>
    <col min="13557" max="13557" width="42.140625" style="2" customWidth="1"/>
    <col min="13558" max="13558" width="8.85546875" style="2"/>
    <col min="13559" max="13559" width="17.42578125" style="2" customWidth="1"/>
    <col min="13560" max="13560" width="8.5703125" style="2" customWidth="1"/>
    <col min="13561" max="13561" width="0" style="2" hidden="1" customWidth="1"/>
    <col min="13562" max="13562" width="44.85546875" style="2" customWidth="1"/>
    <col min="13563" max="13564" width="8.85546875" style="2"/>
    <col min="13565" max="13565" width="3.140625" style="2" customWidth="1"/>
    <col min="13566" max="13566" width="3.85546875" style="2" customWidth="1"/>
    <col min="13567" max="13567" width="8.5703125" style="2" customWidth="1"/>
    <col min="13568" max="13568" width="8.85546875" style="2" customWidth="1"/>
    <col min="13569" max="13569" width="7.42578125" style="2" customWidth="1"/>
    <col min="13570" max="13570" width="8.140625" style="2" customWidth="1"/>
    <col min="13571" max="13571" width="8" style="2" customWidth="1"/>
    <col min="13572" max="13572" width="8.140625" style="2" customWidth="1"/>
    <col min="13573" max="13573" width="9" style="2" customWidth="1"/>
    <col min="13574" max="13574" width="9.140625" style="2" customWidth="1"/>
    <col min="13575" max="13575" width="8.5703125" style="2" customWidth="1"/>
    <col min="13576" max="13576" width="11.42578125" style="2" customWidth="1"/>
    <col min="13577" max="13811" width="8.85546875" style="2"/>
    <col min="13812" max="13812" width="6.85546875" style="2" customWidth="1"/>
    <col min="13813" max="13813" width="42.140625" style="2" customWidth="1"/>
    <col min="13814" max="13814" width="8.85546875" style="2"/>
    <col min="13815" max="13815" width="17.42578125" style="2" customWidth="1"/>
    <col min="13816" max="13816" width="8.5703125" style="2" customWidth="1"/>
    <col min="13817" max="13817" width="0" style="2" hidden="1" customWidth="1"/>
    <col min="13818" max="13818" width="44.85546875" style="2" customWidth="1"/>
    <col min="13819" max="13820" width="8.85546875" style="2"/>
    <col min="13821" max="13821" width="3.140625" style="2" customWidth="1"/>
    <col min="13822" max="13822" width="3.85546875" style="2" customWidth="1"/>
    <col min="13823" max="13823" width="8.5703125" style="2" customWidth="1"/>
    <col min="13824" max="13824" width="8.85546875" style="2" customWidth="1"/>
    <col min="13825" max="13825" width="7.42578125" style="2" customWidth="1"/>
    <col min="13826" max="13826" width="8.140625" style="2" customWidth="1"/>
    <col min="13827" max="13827" width="8" style="2" customWidth="1"/>
    <col min="13828" max="13828" width="8.140625" style="2" customWidth="1"/>
    <col min="13829" max="13829" width="9" style="2" customWidth="1"/>
    <col min="13830" max="13830" width="9.140625" style="2" customWidth="1"/>
    <col min="13831" max="13831" width="8.5703125" style="2" customWidth="1"/>
    <col min="13832" max="13832" width="11.42578125" style="2" customWidth="1"/>
    <col min="13833" max="14067" width="8.85546875" style="2"/>
    <col min="14068" max="14068" width="6.85546875" style="2" customWidth="1"/>
    <col min="14069" max="14069" width="42.140625" style="2" customWidth="1"/>
    <col min="14070" max="14070" width="8.85546875" style="2"/>
    <col min="14071" max="14071" width="17.42578125" style="2" customWidth="1"/>
    <col min="14072" max="14072" width="8.5703125" style="2" customWidth="1"/>
    <col min="14073" max="14073" width="0" style="2" hidden="1" customWidth="1"/>
    <col min="14074" max="14074" width="44.85546875" style="2" customWidth="1"/>
    <col min="14075" max="14076" width="8.85546875" style="2"/>
    <col min="14077" max="14077" width="3.140625" style="2" customWidth="1"/>
    <col min="14078" max="14078" width="3.85546875" style="2" customWidth="1"/>
    <col min="14079" max="14079" width="8.5703125" style="2" customWidth="1"/>
    <col min="14080" max="14080" width="8.85546875" style="2" customWidth="1"/>
    <col min="14081" max="14081" width="7.42578125" style="2" customWidth="1"/>
    <col min="14082" max="14082" width="8.140625" style="2" customWidth="1"/>
    <col min="14083" max="14083" width="8" style="2" customWidth="1"/>
    <col min="14084" max="14084" width="8.140625" style="2" customWidth="1"/>
    <col min="14085" max="14085" width="9" style="2" customWidth="1"/>
    <col min="14086" max="14086" width="9.140625" style="2" customWidth="1"/>
    <col min="14087" max="14087" width="8.5703125" style="2" customWidth="1"/>
    <col min="14088" max="14088" width="11.42578125" style="2" customWidth="1"/>
    <col min="14089" max="14323" width="8.85546875" style="2"/>
    <col min="14324" max="14324" width="6.85546875" style="2" customWidth="1"/>
    <col min="14325" max="14325" width="42.140625" style="2" customWidth="1"/>
    <col min="14326" max="14326" width="8.85546875" style="2"/>
    <col min="14327" max="14327" width="17.42578125" style="2" customWidth="1"/>
    <col min="14328" max="14328" width="8.5703125" style="2" customWidth="1"/>
    <col min="14329" max="14329" width="0" style="2" hidden="1" customWidth="1"/>
    <col min="14330" max="14330" width="44.85546875" style="2" customWidth="1"/>
    <col min="14331" max="14332" width="8.85546875" style="2"/>
    <col min="14333" max="14333" width="3.140625" style="2" customWidth="1"/>
    <col min="14334" max="14334" width="3.85546875" style="2" customWidth="1"/>
    <col min="14335" max="14335" width="8.5703125" style="2" customWidth="1"/>
    <col min="14336" max="14336" width="8.85546875" style="2" customWidth="1"/>
    <col min="14337" max="14337" width="7.42578125" style="2" customWidth="1"/>
    <col min="14338" max="14338" width="8.140625" style="2" customWidth="1"/>
    <col min="14339" max="14339" width="8" style="2" customWidth="1"/>
    <col min="14340" max="14340" width="8.140625" style="2" customWidth="1"/>
    <col min="14341" max="14341" width="9" style="2" customWidth="1"/>
    <col min="14342" max="14342" width="9.140625" style="2" customWidth="1"/>
    <col min="14343" max="14343" width="8.5703125" style="2" customWidth="1"/>
    <col min="14344" max="14344" width="11.42578125" style="2" customWidth="1"/>
    <col min="14345" max="14579" width="8.85546875" style="2"/>
    <col min="14580" max="14580" width="6.85546875" style="2" customWidth="1"/>
    <col min="14581" max="14581" width="42.140625" style="2" customWidth="1"/>
    <col min="14582" max="14582" width="8.85546875" style="2"/>
    <col min="14583" max="14583" width="17.42578125" style="2" customWidth="1"/>
    <col min="14584" max="14584" width="8.5703125" style="2" customWidth="1"/>
    <col min="14585" max="14585" width="0" style="2" hidden="1" customWidth="1"/>
    <col min="14586" max="14586" width="44.85546875" style="2" customWidth="1"/>
    <col min="14587" max="14588" width="8.85546875" style="2"/>
    <col min="14589" max="14589" width="3.140625" style="2" customWidth="1"/>
    <col min="14590" max="14590" width="3.85546875" style="2" customWidth="1"/>
    <col min="14591" max="14591" width="8.5703125" style="2" customWidth="1"/>
    <col min="14592" max="14592" width="8.85546875" style="2" customWidth="1"/>
    <col min="14593" max="14593" width="7.42578125" style="2" customWidth="1"/>
    <col min="14594" max="14594" width="8.140625" style="2" customWidth="1"/>
    <col min="14595" max="14595" width="8" style="2" customWidth="1"/>
    <col min="14596" max="14596" width="8.140625" style="2" customWidth="1"/>
    <col min="14597" max="14597" width="9" style="2" customWidth="1"/>
    <col min="14598" max="14598" width="9.140625" style="2" customWidth="1"/>
    <col min="14599" max="14599" width="8.5703125" style="2" customWidth="1"/>
    <col min="14600" max="14600" width="11.42578125" style="2" customWidth="1"/>
    <col min="14601" max="14835" width="8.85546875" style="2"/>
    <col min="14836" max="14836" width="6.85546875" style="2" customWidth="1"/>
    <col min="14837" max="14837" width="42.140625" style="2" customWidth="1"/>
    <col min="14838" max="14838" width="8.85546875" style="2"/>
    <col min="14839" max="14839" width="17.42578125" style="2" customWidth="1"/>
    <col min="14840" max="14840" width="8.5703125" style="2" customWidth="1"/>
    <col min="14841" max="14841" width="0" style="2" hidden="1" customWidth="1"/>
    <col min="14842" max="14842" width="44.85546875" style="2" customWidth="1"/>
    <col min="14843" max="14844" width="8.85546875" style="2"/>
    <col min="14845" max="14845" width="3.140625" style="2" customWidth="1"/>
    <col min="14846" max="14846" width="3.85546875" style="2" customWidth="1"/>
    <col min="14847" max="14847" width="8.5703125" style="2" customWidth="1"/>
    <col min="14848" max="14848" width="8.85546875" style="2" customWidth="1"/>
    <col min="14849" max="14849" width="7.42578125" style="2" customWidth="1"/>
    <col min="14850" max="14850" width="8.140625" style="2" customWidth="1"/>
    <col min="14851" max="14851" width="8" style="2" customWidth="1"/>
    <col min="14852" max="14852" width="8.140625" style="2" customWidth="1"/>
    <col min="14853" max="14853" width="9" style="2" customWidth="1"/>
    <col min="14854" max="14854" width="9.140625" style="2" customWidth="1"/>
    <col min="14855" max="14855" width="8.5703125" style="2" customWidth="1"/>
    <col min="14856" max="14856" width="11.42578125" style="2" customWidth="1"/>
    <col min="14857" max="15091" width="8.85546875" style="2"/>
    <col min="15092" max="15092" width="6.85546875" style="2" customWidth="1"/>
    <col min="15093" max="15093" width="42.140625" style="2" customWidth="1"/>
    <col min="15094" max="15094" width="8.85546875" style="2"/>
    <col min="15095" max="15095" width="17.42578125" style="2" customWidth="1"/>
    <col min="15096" max="15096" width="8.5703125" style="2" customWidth="1"/>
    <col min="15097" max="15097" width="0" style="2" hidden="1" customWidth="1"/>
    <col min="15098" max="15098" width="44.85546875" style="2" customWidth="1"/>
    <col min="15099" max="15100" width="8.85546875" style="2"/>
    <col min="15101" max="15101" width="3.140625" style="2" customWidth="1"/>
    <col min="15102" max="15102" width="3.85546875" style="2" customWidth="1"/>
    <col min="15103" max="15103" width="8.5703125" style="2" customWidth="1"/>
    <col min="15104" max="15104" width="8.85546875" style="2" customWidth="1"/>
    <col min="15105" max="15105" width="7.42578125" style="2" customWidth="1"/>
    <col min="15106" max="15106" width="8.140625" style="2" customWidth="1"/>
    <col min="15107" max="15107" width="8" style="2" customWidth="1"/>
    <col min="15108" max="15108" width="8.140625" style="2" customWidth="1"/>
    <col min="15109" max="15109" width="9" style="2" customWidth="1"/>
    <col min="15110" max="15110" width="9.140625" style="2" customWidth="1"/>
    <col min="15111" max="15111" width="8.5703125" style="2" customWidth="1"/>
    <col min="15112" max="15112" width="11.42578125" style="2" customWidth="1"/>
    <col min="15113" max="15347" width="8.85546875" style="2"/>
    <col min="15348" max="15348" width="6.85546875" style="2" customWidth="1"/>
    <col min="15349" max="15349" width="42.140625" style="2" customWidth="1"/>
    <col min="15350" max="15350" width="8.85546875" style="2"/>
    <col min="15351" max="15351" width="17.42578125" style="2" customWidth="1"/>
    <col min="15352" max="15352" width="8.5703125" style="2" customWidth="1"/>
    <col min="15353" max="15353" width="0" style="2" hidden="1" customWidth="1"/>
    <col min="15354" max="15354" width="44.85546875" style="2" customWidth="1"/>
    <col min="15355" max="15356" width="8.85546875" style="2"/>
    <col min="15357" max="15357" width="3.140625" style="2" customWidth="1"/>
    <col min="15358" max="15358" width="3.85546875" style="2" customWidth="1"/>
    <col min="15359" max="15359" width="8.5703125" style="2" customWidth="1"/>
    <col min="15360" max="15360" width="8.85546875" style="2" customWidth="1"/>
    <col min="15361" max="15361" width="7.42578125" style="2" customWidth="1"/>
    <col min="15362" max="15362" width="8.140625" style="2" customWidth="1"/>
    <col min="15363" max="15363" width="8" style="2" customWidth="1"/>
    <col min="15364" max="15364" width="8.140625" style="2" customWidth="1"/>
    <col min="15365" max="15365" width="9" style="2" customWidth="1"/>
    <col min="15366" max="15366" width="9.140625" style="2" customWidth="1"/>
    <col min="15367" max="15367" width="8.5703125" style="2" customWidth="1"/>
    <col min="15368" max="15368" width="11.42578125" style="2" customWidth="1"/>
    <col min="15369" max="15603" width="8.85546875" style="2"/>
    <col min="15604" max="15604" width="6.85546875" style="2" customWidth="1"/>
    <col min="15605" max="15605" width="42.140625" style="2" customWidth="1"/>
    <col min="15606" max="15606" width="8.85546875" style="2"/>
    <col min="15607" max="15607" width="17.42578125" style="2" customWidth="1"/>
    <col min="15608" max="15608" width="8.5703125" style="2" customWidth="1"/>
    <col min="15609" max="15609" width="0" style="2" hidden="1" customWidth="1"/>
    <col min="15610" max="15610" width="44.85546875" style="2" customWidth="1"/>
    <col min="15611" max="15612" width="8.85546875" style="2"/>
    <col min="15613" max="15613" width="3.140625" style="2" customWidth="1"/>
    <col min="15614" max="15614" width="3.85546875" style="2" customWidth="1"/>
    <col min="15615" max="15615" width="8.5703125" style="2" customWidth="1"/>
    <col min="15616" max="15616" width="8.85546875" style="2" customWidth="1"/>
    <col min="15617" max="15617" width="7.42578125" style="2" customWidth="1"/>
    <col min="15618" max="15618" width="8.140625" style="2" customWidth="1"/>
    <col min="15619" max="15619" width="8" style="2" customWidth="1"/>
    <col min="15620" max="15620" width="8.140625" style="2" customWidth="1"/>
    <col min="15621" max="15621" width="9" style="2" customWidth="1"/>
    <col min="15622" max="15622" width="9.140625" style="2" customWidth="1"/>
    <col min="15623" max="15623" width="8.5703125" style="2" customWidth="1"/>
    <col min="15624" max="15624" width="11.42578125" style="2" customWidth="1"/>
    <col min="15625" max="15859" width="8.85546875" style="2"/>
    <col min="15860" max="15860" width="6.85546875" style="2" customWidth="1"/>
    <col min="15861" max="15861" width="42.140625" style="2" customWidth="1"/>
    <col min="15862" max="15862" width="8.85546875" style="2"/>
    <col min="15863" max="15863" width="17.42578125" style="2" customWidth="1"/>
    <col min="15864" max="15864" width="8.5703125" style="2" customWidth="1"/>
    <col min="15865" max="15865" width="0" style="2" hidden="1" customWidth="1"/>
    <col min="15866" max="15866" width="44.85546875" style="2" customWidth="1"/>
    <col min="15867" max="15868" width="8.85546875" style="2"/>
    <col min="15869" max="15869" width="3.140625" style="2" customWidth="1"/>
    <col min="15870" max="15870" width="3.85546875" style="2" customWidth="1"/>
    <col min="15871" max="15871" width="8.5703125" style="2" customWidth="1"/>
    <col min="15872" max="15872" width="8.85546875" style="2" customWidth="1"/>
    <col min="15873" max="15873" width="7.42578125" style="2" customWidth="1"/>
    <col min="15874" max="15874" width="8.140625" style="2" customWidth="1"/>
    <col min="15875" max="15875" width="8" style="2" customWidth="1"/>
    <col min="15876" max="15876" width="8.140625" style="2" customWidth="1"/>
    <col min="15877" max="15877" width="9" style="2" customWidth="1"/>
    <col min="15878" max="15878" width="9.140625" style="2" customWidth="1"/>
    <col min="15879" max="15879" width="8.5703125" style="2" customWidth="1"/>
    <col min="15880" max="15880" width="11.42578125" style="2" customWidth="1"/>
    <col min="15881" max="16115" width="8.85546875" style="2"/>
    <col min="16116" max="16116" width="6.85546875" style="2" customWidth="1"/>
    <col min="16117" max="16117" width="42.140625" style="2" customWidth="1"/>
    <col min="16118" max="16118" width="8.85546875" style="2"/>
    <col min="16119" max="16119" width="17.42578125" style="2" customWidth="1"/>
    <col min="16120" max="16120" width="8.5703125" style="2" customWidth="1"/>
    <col min="16121" max="16121" width="0" style="2" hidden="1" customWidth="1"/>
    <col min="16122" max="16122" width="44.85546875" style="2" customWidth="1"/>
    <col min="16123" max="16124" width="8.85546875" style="2"/>
    <col min="16125" max="16125" width="3.140625" style="2" customWidth="1"/>
    <col min="16126" max="16126" width="3.85546875" style="2" customWidth="1"/>
    <col min="16127" max="16127" width="8.5703125" style="2" customWidth="1"/>
    <col min="16128" max="16128" width="8.85546875" style="2" customWidth="1"/>
    <col min="16129" max="16129" width="7.42578125" style="2" customWidth="1"/>
    <col min="16130" max="16130" width="8.140625" style="2" customWidth="1"/>
    <col min="16131" max="16131" width="8" style="2" customWidth="1"/>
    <col min="16132" max="16132" width="8.140625" style="2" customWidth="1"/>
    <col min="16133" max="16133" width="9" style="2" customWidth="1"/>
    <col min="16134" max="16134" width="9.140625" style="2" customWidth="1"/>
    <col min="16135" max="16135" width="8.5703125" style="2" customWidth="1"/>
    <col min="16136" max="16136" width="11.42578125" style="2" customWidth="1"/>
    <col min="16137" max="16371" width="8.85546875" style="2"/>
    <col min="16372" max="16384" width="9.140625" style="2" customWidth="1"/>
  </cols>
  <sheetData>
    <row r="1" spans="2:7" hidden="1" x14ac:dyDescent="0.25"/>
    <row r="2" spans="2:7" ht="18.75" hidden="1" x14ac:dyDescent="0.3">
      <c r="B2" s="1"/>
      <c r="F2" s="4"/>
    </row>
    <row r="3" spans="2:7" hidden="1" x14ac:dyDescent="0.25">
      <c r="B3" s="5"/>
    </row>
    <row r="4" spans="2:7" ht="18.75" hidden="1" x14ac:dyDescent="0.3">
      <c r="B4" s="7"/>
      <c r="F4" s="8"/>
      <c r="G4" s="1"/>
    </row>
    <row r="5" spans="2:7" hidden="1" x14ac:dyDescent="0.25"/>
    <row r="6" spans="2:7" hidden="1" x14ac:dyDescent="0.25"/>
    <row r="7" spans="2:7" hidden="1" x14ac:dyDescent="0.25"/>
    <row r="8" spans="2:7" hidden="1" x14ac:dyDescent="0.25"/>
    <row r="9" spans="2:7" hidden="1" x14ac:dyDescent="0.25"/>
    <row r="10" spans="2:7" hidden="1" x14ac:dyDescent="0.25"/>
    <row r="11" spans="2:7" hidden="1" x14ac:dyDescent="0.25"/>
    <row r="12" spans="2:7" hidden="1" x14ac:dyDescent="0.25"/>
    <row r="13" spans="2:7" hidden="1" x14ac:dyDescent="0.25"/>
    <row r="15" spans="2:7" x14ac:dyDescent="0.25">
      <c r="B15" s="178" t="s">
        <v>337</v>
      </c>
      <c r="E15" s="213" t="s">
        <v>338</v>
      </c>
    </row>
    <row r="16" spans="2:7" hidden="1" x14ac:dyDescent="0.25">
      <c r="B16" s="9"/>
      <c r="C16" s="10"/>
      <c r="E16" s="11"/>
    </row>
    <row r="17" spans="2:28" hidden="1" x14ac:dyDescent="0.25">
      <c r="B17" s="12"/>
      <c r="C17" s="13"/>
    </row>
    <row r="18" spans="2:28" ht="15.75" thickBot="1" x14ac:dyDescent="0.3"/>
    <row r="19" spans="2:28" ht="16.5" thickTop="1" x14ac:dyDescent="0.25">
      <c r="B19" s="229" t="s">
        <v>0</v>
      </c>
      <c r="C19" s="230"/>
      <c r="D19" s="230"/>
      <c r="E19" s="230"/>
      <c r="F19" s="231"/>
      <c r="G19" s="14"/>
      <c r="H19" s="14"/>
      <c r="I19" s="14"/>
      <c r="J19" s="14"/>
      <c r="K19" s="14"/>
      <c r="L19" s="14"/>
      <c r="M19" s="14"/>
      <c r="N19" s="14"/>
      <c r="O19" s="14"/>
      <c r="P19" s="14"/>
      <c r="Q19" s="14"/>
      <c r="R19" s="14"/>
      <c r="S19" s="14"/>
      <c r="T19" s="14"/>
      <c r="U19" s="14"/>
      <c r="V19" s="14"/>
      <c r="W19" s="14"/>
      <c r="X19" s="14"/>
      <c r="Y19" s="14"/>
      <c r="Z19" s="14"/>
      <c r="AA19" s="14"/>
      <c r="AB19" s="14"/>
    </row>
    <row r="20" spans="2:28" ht="17.100000000000001" x14ac:dyDescent="0.4">
      <c r="B20" s="15" t="s">
        <v>1</v>
      </c>
      <c r="C20" s="16"/>
      <c r="D20" s="17" t="s">
        <v>354</v>
      </c>
      <c r="E20" s="16"/>
      <c r="F20" s="16"/>
      <c r="G20" s="14"/>
      <c r="H20" s="14"/>
      <c r="I20" s="14"/>
      <c r="J20" s="14"/>
      <c r="K20" s="14"/>
      <c r="L20" s="14"/>
      <c r="M20" s="14"/>
      <c r="N20" s="14"/>
      <c r="O20" s="14"/>
      <c r="P20" s="14"/>
      <c r="Q20" s="14"/>
      <c r="R20" s="14"/>
      <c r="S20" s="14"/>
      <c r="T20" s="14"/>
      <c r="U20" s="14"/>
      <c r="V20" s="14"/>
      <c r="W20" s="14"/>
      <c r="X20" s="14"/>
      <c r="Y20" s="14"/>
      <c r="Z20" s="14"/>
      <c r="AA20" s="14"/>
      <c r="AB20" s="14"/>
    </row>
    <row r="21" spans="2:28" ht="15.75" x14ac:dyDescent="0.25">
      <c r="B21" s="18" t="s">
        <v>3</v>
      </c>
      <c r="C21" s="19" t="s">
        <v>4</v>
      </c>
      <c r="D21" s="20">
        <v>25</v>
      </c>
      <c r="E21" s="21" t="s">
        <v>5</v>
      </c>
      <c r="F21" s="22" t="s">
        <v>6</v>
      </c>
      <c r="G21" s="14"/>
      <c r="H21" s="14"/>
      <c r="I21" s="14"/>
      <c r="J21" s="14"/>
      <c r="K21" s="14"/>
      <c r="L21" s="14"/>
      <c r="M21" s="14"/>
      <c r="N21" s="14"/>
      <c r="O21" s="14"/>
      <c r="P21" s="14"/>
      <c r="Q21" s="14"/>
      <c r="R21" s="14"/>
      <c r="S21" s="14"/>
      <c r="T21" s="14"/>
      <c r="U21" s="14"/>
      <c r="V21" s="14"/>
      <c r="W21" s="14"/>
      <c r="X21" s="14"/>
      <c r="Y21" s="14"/>
      <c r="Z21" s="14"/>
      <c r="AA21" s="14"/>
      <c r="AB21" s="14"/>
    </row>
    <row r="22" spans="2:28" ht="17.25" x14ac:dyDescent="0.3">
      <c r="B22" s="18" t="s">
        <v>7</v>
      </c>
      <c r="C22" s="19" t="s">
        <v>8</v>
      </c>
      <c r="D22" s="23">
        <v>400</v>
      </c>
      <c r="E22" s="21" t="s">
        <v>9</v>
      </c>
      <c r="F22" s="22" t="s">
        <v>10</v>
      </c>
      <c r="G22" s="14"/>
      <c r="H22" s="24"/>
      <c r="I22" s="25"/>
      <c r="J22" s="25"/>
      <c r="K22" s="25"/>
      <c r="L22" s="25"/>
      <c r="M22" s="25"/>
      <c r="N22" s="25"/>
      <c r="O22" s="25"/>
      <c r="P22" s="14"/>
      <c r="Q22" s="14"/>
      <c r="R22" s="14"/>
      <c r="S22" s="14"/>
      <c r="T22" s="14"/>
      <c r="U22" s="14"/>
      <c r="V22" s="14"/>
      <c r="W22" s="14"/>
      <c r="X22" s="14"/>
      <c r="Y22" s="14"/>
      <c r="Z22" s="14"/>
      <c r="AA22" s="14"/>
      <c r="AB22" s="14"/>
    </row>
    <row r="23" spans="2:28" ht="17.25" x14ac:dyDescent="0.3">
      <c r="B23" s="26" t="s">
        <v>11</v>
      </c>
      <c r="C23" s="19" t="s">
        <v>12</v>
      </c>
      <c r="D23" s="27">
        <v>2</v>
      </c>
      <c r="E23" s="21" t="s">
        <v>11</v>
      </c>
      <c r="F23" s="22" t="s">
        <v>13</v>
      </c>
      <c r="G23" s="14"/>
      <c r="H23" s="14"/>
      <c r="I23" s="14"/>
      <c r="J23" s="14"/>
      <c r="K23" s="14"/>
      <c r="L23" s="14"/>
      <c r="M23" s="28"/>
      <c r="N23" s="14"/>
      <c r="O23" s="14"/>
      <c r="P23" s="14"/>
      <c r="Q23" s="14"/>
      <c r="R23" s="14"/>
      <c r="S23" s="14"/>
      <c r="T23" s="14"/>
      <c r="U23" s="14"/>
      <c r="V23" s="14"/>
      <c r="W23" s="14"/>
      <c r="X23" s="14"/>
      <c r="Y23" s="14"/>
      <c r="Z23" s="14"/>
      <c r="AA23" s="14"/>
      <c r="AB23" s="14"/>
    </row>
    <row r="24" spans="2:28" ht="17.25" x14ac:dyDescent="0.3">
      <c r="B24" s="29" t="s">
        <v>14</v>
      </c>
      <c r="C24" s="30" t="s">
        <v>15</v>
      </c>
      <c r="D24" s="31">
        <v>8</v>
      </c>
      <c r="E24" s="32" t="s">
        <v>16</v>
      </c>
      <c r="F24" s="33" t="s">
        <v>17</v>
      </c>
      <c r="G24" s="14"/>
      <c r="H24" s="14"/>
      <c r="I24" s="14"/>
      <c r="J24" s="14"/>
      <c r="K24" s="14"/>
      <c r="L24" s="14"/>
      <c r="M24" s="28"/>
      <c r="N24" s="14"/>
      <c r="O24" s="14"/>
      <c r="P24" s="14"/>
      <c r="Q24" s="14"/>
      <c r="R24" s="14"/>
      <c r="S24" s="14"/>
      <c r="T24" s="14"/>
      <c r="U24" s="14"/>
      <c r="V24" s="14"/>
      <c r="W24" s="14"/>
      <c r="X24" s="14"/>
      <c r="Y24" s="14"/>
      <c r="Z24" s="14"/>
      <c r="AA24" s="14"/>
      <c r="AB24" s="14"/>
    </row>
    <row r="25" spans="2:28" ht="18" x14ac:dyDescent="0.35">
      <c r="B25" s="29" t="str">
        <f>IF(D28="Circular","Outer diameter of the inductor", "Short Side of inductor")</f>
        <v>Outer diameter of the inductor</v>
      </c>
      <c r="C25" s="30" t="s">
        <v>18</v>
      </c>
      <c r="D25" s="34">
        <v>5</v>
      </c>
      <c r="E25" s="35" t="s">
        <v>19</v>
      </c>
      <c r="F25" s="33" t="s">
        <v>20</v>
      </c>
      <c r="G25" s="14"/>
      <c r="H25" s="14"/>
      <c r="I25" s="14"/>
      <c r="J25" s="14"/>
      <c r="K25" s="14"/>
      <c r="L25" s="14"/>
      <c r="M25" s="14"/>
      <c r="N25" s="14"/>
      <c r="O25" s="14"/>
      <c r="P25" s="14"/>
      <c r="Q25" s="14"/>
      <c r="R25" s="14"/>
      <c r="S25" s="14"/>
      <c r="T25" s="14"/>
      <c r="U25" s="14"/>
      <c r="V25" s="14"/>
      <c r="W25" s="14"/>
      <c r="X25" s="14"/>
      <c r="Y25" s="14"/>
      <c r="Z25" s="14"/>
      <c r="AA25" s="14"/>
      <c r="AB25" s="14"/>
    </row>
    <row r="26" spans="2:28" ht="17.25" hidden="1" x14ac:dyDescent="0.3">
      <c r="B26" s="29" t="s">
        <v>21</v>
      </c>
      <c r="C26" s="30" t="str">
        <f>E25</f>
        <v>mm</v>
      </c>
      <c r="D26" s="36" t="str">
        <f>C26</f>
        <v>mm</v>
      </c>
      <c r="E26" s="37"/>
      <c r="F26" s="33"/>
      <c r="G26" s="14"/>
      <c r="H26" s="14"/>
      <c r="I26" s="14"/>
      <c r="J26" s="14"/>
      <c r="K26" s="14"/>
      <c r="L26" s="14"/>
      <c r="M26" s="14"/>
      <c r="N26" s="14"/>
      <c r="O26" s="14"/>
      <c r="P26" s="14"/>
      <c r="Q26" s="14"/>
      <c r="R26" s="14"/>
      <c r="S26" s="14"/>
      <c r="T26" s="14"/>
      <c r="U26" s="14"/>
      <c r="V26" s="14"/>
      <c r="W26" s="14"/>
      <c r="X26" s="14"/>
      <c r="Y26" s="14"/>
      <c r="Z26" s="14"/>
      <c r="AA26" s="14"/>
      <c r="AB26" s="14"/>
    </row>
    <row r="27" spans="2:28" ht="17.25" hidden="1" x14ac:dyDescent="0.3">
      <c r="B27" s="29" t="s">
        <v>22</v>
      </c>
      <c r="C27" s="30"/>
      <c r="D27" s="38">
        <f>IF(D26="mm",D25,D25*0.0254)</f>
        <v>5</v>
      </c>
      <c r="E27" s="39" t="s">
        <v>19</v>
      </c>
      <c r="F27" s="33"/>
      <c r="G27" s="14"/>
      <c r="H27" s="14"/>
      <c r="I27" s="14"/>
      <c r="J27" s="14"/>
      <c r="K27" s="14"/>
      <c r="L27" s="14"/>
      <c r="M27" s="14"/>
      <c r="N27" s="14"/>
      <c r="O27" s="14"/>
      <c r="P27" s="14"/>
      <c r="Q27" s="14"/>
      <c r="R27" s="14"/>
      <c r="S27" s="14"/>
      <c r="T27" s="14"/>
      <c r="U27" s="14"/>
      <c r="V27" s="14"/>
      <c r="W27" s="14"/>
      <c r="X27" s="14"/>
      <c r="Y27" s="14"/>
      <c r="Z27" s="14"/>
      <c r="AA27" s="14"/>
      <c r="AB27" s="14"/>
    </row>
    <row r="28" spans="2:28" ht="17.25" x14ac:dyDescent="0.3">
      <c r="B28" s="29" t="s">
        <v>23</v>
      </c>
      <c r="C28" s="30"/>
      <c r="D28" s="40" t="s">
        <v>351</v>
      </c>
      <c r="E28" s="39"/>
      <c r="F28" s="33"/>
      <c r="G28" s="14"/>
      <c r="H28" s="14"/>
      <c r="I28" s="14"/>
      <c r="J28" s="14"/>
      <c r="K28" s="14"/>
      <c r="L28" s="14"/>
      <c r="M28" s="14"/>
      <c r="N28" s="14"/>
      <c r="O28" s="14"/>
      <c r="P28" s="14"/>
      <c r="Q28" s="14"/>
      <c r="R28" s="14"/>
      <c r="S28" s="14"/>
      <c r="T28" s="14"/>
      <c r="U28" s="14"/>
      <c r="V28" s="14"/>
      <c r="W28" s="14"/>
      <c r="X28" s="14"/>
      <c r="Y28" s="14"/>
      <c r="Z28" s="14"/>
      <c r="AA28" s="14"/>
      <c r="AB28" s="14"/>
    </row>
    <row r="29" spans="2:28" ht="18" x14ac:dyDescent="0.35">
      <c r="B29" s="29" t="s">
        <v>24</v>
      </c>
      <c r="C29" s="30" t="s">
        <v>25</v>
      </c>
      <c r="D29" s="34">
        <v>17.399999999999999</v>
      </c>
      <c r="E29" s="41" t="str">
        <f>E25</f>
        <v>mm</v>
      </c>
      <c r="F29" s="42" t="str">
        <f>IF(D29&lt;D25,"Sensor Long Side must be longer than Short Side","")</f>
        <v/>
      </c>
      <c r="G29" s="14"/>
      <c r="H29" s="14"/>
      <c r="I29" s="14"/>
      <c r="J29" s="14"/>
      <c r="K29" s="14"/>
      <c r="L29" s="14"/>
      <c r="M29" s="14"/>
      <c r="N29" s="14"/>
      <c r="O29" s="14"/>
      <c r="P29" s="14"/>
      <c r="Q29" s="14"/>
      <c r="R29" s="14"/>
      <c r="S29" s="14"/>
      <c r="T29" s="14"/>
      <c r="U29" s="14"/>
      <c r="V29" s="14"/>
      <c r="W29" s="14"/>
      <c r="X29" s="14"/>
      <c r="Y29" s="14"/>
      <c r="Z29" s="14"/>
      <c r="AA29" s="14"/>
      <c r="AB29" s="14"/>
    </row>
    <row r="30" spans="2:28" ht="17.25" hidden="1" x14ac:dyDescent="0.3">
      <c r="B30" s="29" t="s">
        <v>26</v>
      </c>
      <c r="C30" s="30"/>
      <c r="D30" s="36">
        <f>IF(E29="mm",D29,D29*0.0254)</f>
        <v>17.399999999999999</v>
      </c>
      <c r="E30" s="39" t="s">
        <v>19</v>
      </c>
      <c r="F30" s="33"/>
      <c r="G30" s="14"/>
      <c r="H30" s="14"/>
      <c r="I30" s="14"/>
      <c r="J30" s="14"/>
      <c r="K30" s="14"/>
      <c r="L30" s="14"/>
      <c r="M30" s="14"/>
      <c r="N30" s="14"/>
      <c r="O30" s="14"/>
      <c r="P30" s="14"/>
      <c r="Q30" s="14"/>
      <c r="R30" s="14"/>
      <c r="S30" s="14"/>
      <c r="T30" s="14"/>
      <c r="U30" s="14"/>
      <c r="V30" s="14"/>
      <c r="W30" s="14"/>
      <c r="X30" s="14"/>
      <c r="Y30" s="14"/>
      <c r="Z30" s="14"/>
      <c r="AA30" s="14"/>
      <c r="AB30" s="14"/>
    </row>
    <row r="31" spans="2:28" ht="17.25" hidden="1" x14ac:dyDescent="0.3">
      <c r="B31" s="29" t="s">
        <v>27</v>
      </c>
      <c r="C31" s="30"/>
      <c r="D31" s="43">
        <f>IF(D28="Circular",1,D30/D27)</f>
        <v>1</v>
      </c>
      <c r="E31" s="39"/>
      <c r="F31" s="33"/>
      <c r="G31" s="14"/>
      <c r="H31" s="14"/>
      <c r="I31" s="14"/>
      <c r="J31" s="14"/>
      <c r="K31" s="14"/>
      <c r="L31" s="14"/>
      <c r="M31" s="14"/>
      <c r="N31" s="14"/>
      <c r="O31" s="14"/>
      <c r="P31" s="14"/>
      <c r="Q31" s="14"/>
      <c r="R31" s="14"/>
      <c r="S31" s="14"/>
      <c r="T31" s="14"/>
      <c r="U31" s="14"/>
      <c r="V31" s="14"/>
      <c r="W31" s="14"/>
      <c r="X31" s="14"/>
      <c r="Y31" s="14"/>
      <c r="Z31" s="14"/>
      <c r="AA31" s="14"/>
      <c r="AB31" s="14"/>
    </row>
    <row r="32" spans="2:28" ht="17.25" hidden="1" x14ac:dyDescent="0.3">
      <c r="B32" s="29" t="s">
        <v>28</v>
      </c>
      <c r="C32" s="30"/>
      <c r="D32" s="44">
        <f>1+(4*(D31-1)/PI())</f>
        <v>1</v>
      </c>
      <c r="E32" s="39"/>
      <c r="F32" s="33"/>
      <c r="G32" s="14"/>
      <c r="H32" s="14"/>
      <c r="I32" s="14"/>
      <c r="J32" s="14"/>
      <c r="K32" s="14"/>
      <c r="L32" s="14"/>
      <c r="M32" s="14"/>
      <c r="N32" s="14"/>
      <c r="O32" s="14"/>
      <c r="P32" s="14"/>
      <c r="Q32" s="14"/>
      <c r="R32" s="14"/>
      <c r="S32" s="14"/>
      <c r="T32" s="14"/>
      <c r="U32" s="14"/>
      <c r="V32" s="14"/>
      <c r="W32" s="14"/>
      <c r="X32" s="14"/>
      <c r="Y32" s="14"/>
      <c r="Z32" s="14"/>
      <c r="AA32" s="14"/>
      <c r="AB32" s="14"/>
    </row>
    <row r="33" spans="2:28" ht="17.25" x14ac:dyDescent="0.3">
      <c r="B33" s="29" t="s">
        <v>29</v>
      </c>
      <c r="C33" s="30" t="s">
        <v>30</v>
      </c>
      <c r="D33" s="40">
        <v>5</v>
      </c>
      <c r="E33" s="35" t="s">
        <v>31</v>
      </c>
      <c r="F33" s="33" t="s">
        <v>32</v>
      </c>
      <c r="G33" s="14"/>
      <c r="H33" s="28"/>
      <c r="I33" s="14"/>
      <c r="J33" s="14"/>
      <c r="K33" s="14"/>
      <c r="L33" s="14"/>
      <c r="M33" s="14"/>
      <c r="N33" s="14"/>
      <c r="O33" s="14"/>
      <c r="P33" s="14"/>
      <c r="Q33" s="14"/>
      <c r="R33" s="14"/>
      <c r="S33" s="14"/>
      <c r="T33" s="14"/>
      <c r="U33" s="14"/>
      <c r="V33" s="14"/>
      <c r="W33" s="14"/>
      <c r="X33" s="14"/>
      <c r="Y33" s="14"/>
      <c r="Z33" s="14"/>
      <c r="AA33" s="14"/>
      <c r="AB33" s="14"/>
    </row>
    <row r="34" spans="2:28" ht="17.25" hidden="1" x14ac:dyDescent="0.3">
      <c r="B34" s="29" t="s">
        <v>33</v>
      </c>
      <c r="C34" s="30" t="str">
        <f>E33</f>
        <v>mil</v>
      </c>
      <c r="D34" s="38" t="str">
        <f>C34</f>
        <v>mil</v>
      </c>
      <c r="E34" s="45"/>
      <c r="F34" s="33"/>
      <c r="G34" s="14"/>
      <c r="H34" s="28"/>
      <c r="I34" s="14"/>
      <c r="J34" s="14"/>
      <c r="K34" s="14"/>
      <c r="L34" s="14"/>
      <c r="M34" s="14"/>
      <c r="N34" s="14"/>
      <c r="O34" s="14"/>
      <c r="P34" s="14"/>
      <c r="Q34" s="14"/>
      <c r="R34" s="14"/>
      <c r="S34" s="14"/>
      <c r="T34" s="14"/>
      <c r="U34" s="14"/>
      <c r="V34" s="14"/>
      <c r="W34" s="14"/>
      <c r="X34" s="14"/>
      <c r="Y34" s="14"/>
      <c r="Z34" s="14"/>
      <c r="AA34" s="14"/>
      <c r="AB34" s="14"/>
    </row>
    <row r="35" spans="2:28" ht="17.25" hidden="1" x14ac:dyDescent="0.3">
      <c r="B35" s="29" t="s">
        <v>34</v>
      </c>
      <c r="C35" s="30"/>
      <c r="D35" s="44">
        <f>IF(D34="mm",D33,D33*0.0254)</f>
        <v>0.127</v>
      </c>
      <c r="E35" s="45" t="s">
        <v>19</v>
      </c>
      <c r="F35" s="33"/>
      <c r="G35" s="14"/>
      <c r="H35" s="28"/>
      <c r="I35" s="14"/>
      <c r="J35" s="14"/>
      <c r="K35" s="14"/>
      <c r="L35" s="14"/>
      <c r="M35" s="14"/>
      <c r="N35" s="14"/>
      <c r="O35" s="14"/>
      <c r="P35" s="14"/>
      <c r="Q35" s="14"/>
      <c r="R35" s="14"/>
      <c r="S35" s="14"/>
      <c r="T35" s="14"/>
      <c r="U35" s="14"/>
      <c r="V35" s="14"/>
      <c r="W35" s="14"/>
      <c r="X35" s="14"/>
      <c r="Y35" s="14"/>
      <c r="Z35" s="14"/>
      <c r="AA35" s="14"/>
      <c r="AB35" s="14"/>
    </row>
    <row r="36" spans="2:28" ht="17.25" x14ac:dyDescent="0.3">
      <c r="B36" s="29" t="s">
        <v>35</v>
      </c>
      <c r="C36" s="30" t="s">
        <v>36</v>
      </c>
      <c r="D36" s="40">
        <v>5</v>
      </c>
      <c r="E36" s="35" t="s">
        <v>31</v>
      </c>
      <c r="F36" s="33" t="s">
        <v>37</v>
      </c>
      <c r="G36" s="14"/>
      <c r="H36" s="14"/>
      <c r="I36" s="14"/>
      <c r="J36" s="14"/>
      <c r="K36" s="14"/>
      <c r="L36" s="14"/>
      <c r="M36" s="14"/>
      <c r="N36" s="14"/>
      <c r="O36" s="14"/>
      <c r="P36" s="14"/>
      <c r="Q36" s="14"/>
      <c r="R36" s="14"/>
      <c r="S36" s="14"/>
      <c r="T36" s="14"/>
      <c r="U36" s="14"/>
      <c r="V36" s="14"/>
      <c r="W36" s="14"/>
      <c r="X36" s="14"/>
      <c r="Y36" s="14"/>
      <c r="Z36" s="14"/>
      <c r="AA36" s="14"/>
      <c r="AB36" s="14"/>
    </row>
    <row r="37" spans="2:28" hidden="1" x14ac:dyDescent="0.25">
      <c r="B37" s="29" t="s">
        <v>38</v>
      </c>
      <c r="C37" s="30" t="str">
        <f>E36</f>
        <v>mil</v>
      </c>
      <c r="D37" s="46" t="str">
        <f>C37</f>
        <v>mil</v>
      </c>
      <c r="E37" s="45"/>
      <c r="F37" s="33"/>
      <c r="G37" s="14"/>
      <c r="H37" s="14"/>
      <c r="I37" s="14"/>
      <c r="J37" s="14"/>
      <c r="K37" s="14"/>
      <c r="L37" s="14"/>
      <c r="M37" s="14"/>
      <c r="N37" s="14"/>
      <c r="O37" s="14"/>
      <c r="P37" s="14"/>
      <c r="Q37" s="14"/>
      <c r="R37" s="14"/>
      <c r="S37" s="14"/>
      <c r="T37" s="14"/>
      <c r="U37" s="14"/>
      <c r="V37" s="14"/>
      <c r="W37" s="14"/>
      <c r="X37" s="14"/>
      <c r="Y37" s="14"/>
      <c r="Z37" s="14"/>
      <c r="AA37" s="14"/>
      <c r="AB37" s="14"/>
    </row>
    <row r="38" spans="2:28" ht="15.75" hidden="1" x14ac:dyDescent="0.25">
      <c r="B38" s="29" t="s">
        <v>39</v>
      </c>
      <c r="C38" s="30"/>
      <c r="D38" s="47">
        <f>IF(D37="mm",D36,D36*0.0254)</f>
        <v>0.127</v>
      </c>
      <c r="E38" s="45" t="s">
        <v>19</v>
      </c>
      <c r="F38" s="33"/>
      <c r="G38" s="14"/>
      <c r="H38" s="14"/>
      <c r="I38" s="14"/>
      <c r="J38" s="14"/>
      <c r="K38" s="14"/>
      <c r="L38" s="14"/>
      <c r="M38" s="14"/>
      <c r="N38" s="14"/>
      <c r="O38" s="14"/>
      <c r="P38" s="14"/>
      <c r="Q38" s="14"/>
      <c r="R38" s="14"/>
      <c r="S38" s="14"/>
      <c r="T38" s="14"/>
      <c r="U38" s="14"/>
      <c r="V38" s="14"/>
      <c r="W38" s="14"/>
      <c r="X38" s="14"/>
      <c r="Y38" s="14"/>
      <c r="Z38" s="14"/>
      <c r="AA38" s="14"/>
      <c r="AB38" s="14"/>
    </row>
    <row r="39" spans="2:28" x14ac:dyDescent="0.25">
      <c r="B39" s="29" t="s">
        <v>40</v>
      </c>
      <c r="C39" s="30" t="s">
        <v>41</v>
      </c>
      <c r="D39" s="209">
        <v>12</v>
      </c>
      <c r="E39" s="35" t="s">
        <v>31</v>
      </c>
      <c r="F39" s="33" t="s">
        <v>42</v>
      </c>
      <c r="G39" s="14"/>
      <c r="H39" s="14"/>
      <c r="I39" s="14"/>
      <c r="J39" s="14"/>
      <c r="K39" s="14"/>
      <c r="L39" s="14"/>
      <c r="M39" s="14"/>
      <c r="N39" s="14"/>
      <c r="O39" s="14"/>
      <c r="P39" s="14"/>
      <c r="Q39" s="14"/>
      <c r="R39" s="14"/>
      <c r="S39" s="14"/>
      <c r="T39" s="14"/>
      <c r="U39" s="14"/>
      <c r="V39" s="14"/>
      <c r="W39" s="14"/>
      <c r="X39" s="14"/>
      <c r="Y39" s="14"/>
      <c r="Z39" s="14"/>
      <c r="AA39" s="14"/>
      <c r="AB39" s="14"/>
    </row>
    <row r="40" spans="2:28" x14ac:dyDescent="0.25">
      <c r="B40" s="29" t="s">
        <v>43</v>
      </c>
      <c r="C40" s="30" t="s">
        <v>44</v>
      </c>
      <c r="D40" s="210">
        <v>8</v>
      </c>
      <c r="E40" s="49" t="str">
        <f t="shared" ref="E40:E45" si="0">E39</f>
        <v>mil</v>
      </c>
      <c r="F40" s="33" t="s">
        <v>45</v>
      </c>
      <c r="G40" s="14"/>
      <c r="H40" s="14"/>
      <c r="I40" s="14"/>
      <c r="J40" s="14"/>
      <c r="K40" s="14"/>
      <c r="L40" s="14"/>
      <c r="M40" s="14"/>
      <c r="N40" s="14"/>
      <c r="O40" s="14"/>
      <c r="P40" s="14"/>
      <c r="Q40" s="14"/>
      <c r="R40" s="14"/>
      <c r="S40" s="14"/>
      <c r="T40" s="14"/>
      <c r="U40" s="14"/>
      <c r="V40" s="14"/>
      <c r="W40" s="14"/>
      <c r="X40" s="14"/>
      <c r="Y40" s="14"/>
      <c r="Z40" s="14"/>
      <c r="AA40" s="14"/>
      <c r="AB40" s="14"/>
    </row>
    <row r="41" spans="2:28" x14ac:dyDescent="0.25">
      <c r="B41" s="29" t="s">
        <v>46</v>
      </c>
      <c r="C41" s="30" t="s">
        <v>47</v>
      </c>
      <c r="D41" s="210">
        <v>8</v>
      </c>
      <c r="E41" s="49" t="str">
        <f t="shared" si="0"/>
        <v>mil</v>
      </c>
      <c r="F41" s="33" t="s">
        <v>48</v>
      </c>
      <c r="G41" s="14"/>
      <c r="H41" s="14"/>
      <c r="I41" s="14"/>
      <c r="J41" s="14"/>
      <c r="K41" s="14"/>
      <c r="L41" s="14"/>
      <c r="M41" s="14"/>
      <c r="N41" s="14"/>
      <c r="O41" s="14"/>
      <c r="P41" s="14"/>
      <c r="Q41" s="14"/>
      <c r="R41" s="14"/>
      <c r="S41" s="14"/>
      <c r="T41" s="14"/>
      <c r="U41" s="14"/>
      <c r="V41" s="14"/>
      <c r="W41" s="14"/>
      <c r="X41" s="14"/>
      <c r="Y41" s="14"/>
      <c r="Z41" s="14"/>
      <c r="AA41" s="14"/>
      <c r="AB41" s="14"/>
    </row>
    <row r="42" spans="2:28" x14ac:dyDescent="0.25">
      <c r="B42" s="29" t="s">
        <v>49</v>
      </c>
      <c r="C42" s="30" t="s">
        <v>50</v>
      </c>
      <c r="D42" s="210">
        <v>8</v>
      </c>
      <c r="E42" s="49" t="str">
        <f t="shared" si="0"/>
        <v>mil</v>
      </c>
      <c r="F42" s="33" t="s">
        <v>51</v>
      </c>
      <c r="G42" s="14"/>
      <c r="H42" s="14"/>
      <c r="I42" s="14"/>
      <c r="J42" s="14"/>
      <c r="K42" s="14"/>
      <c r="L42" s="14"/>
      <c r="M42" s="14"/>
      <c r="N42" s="14"/>
      <c r="O42" s="14"/>
      <c r="P42" s="14"/>
      <c r="Q42" s="14"/>
      <c r="R42" s="14"/>
      <c r="S42" s="14"/>
      <c r="T42" s="14"/>
      <c r="U42" s="14"/>
      <c r="V42" s="14"/>
      <c r="W42" s="14"/>
      <c r="X42" s="14"/>
      <c r="Y42" s="14"/>
      <c r="Z42" s="14"/>
      <c r="AA42" s="14"/>
      <c r="AB42" s="14"/>
    </row>
    <row r="43" spans="2:28" x14ac:dyDescent="0.25">
      <c r="B43" s="29" t="s">
        <v>52</v>
      </c>
      <c r="C43" s="30" t="s">
        <v>53</v>
      </c>
      <c r="D43" s="210">
        <v>8</v>
      </c>
      <c r="E43" s="49" t="str">
        <f t="shared" si="0"/>
        <v>mil</v>
      </c>
      <c r="F43" s="33" t="s">
        <v>54</v>
      </c>
      <c r="G43" s="14"/>
      <c r="H43" s="14"/>
      <c r="I43" s="14"/>
      <c r="J43" s="14"/>
      <c r="K43" s="14"/>
      <c r="L43" s="14"/>
      <c r="M43" s="14"/>
      <c r="N43" s="14"/>
      <c r="O43" s="14"/>
      <c r="P43" s="14"/>
      <c r="Q43" s="14"/>
      <c r="R43" s="14"/>
      <c r="S43" s="14"/>
      <c r="T43" s="14"/>
      <c r="U43" s="14"/>
      <c r="V43" s="14"/>
      <c r="W43" s="14"/>
      <c r="X43" s="14"/>
      <c r="Y43" s="14"/>
      <c r="Z43" s="14"/>
      <c r="AA43" s="14"/>
      <c r="AB43" s="14"/>
    </row>
    <row r="44" spans="2:28" ht="15.6" customHeight="1" x14ac:dyDescent="0.25">
      <c r="B44" s="29" t="s">
        <v>55</v>
      </c>
      <c r="C44" s="30" t="s">
        <v>56</v>
      </c>
      <c r="D44" s="210">
        <v>8</v>
      </c>
      <c r="E44" s="49" t="str">
        <f t="shared" si="0"/>
        <v>mil</v>
      </c>
      <c r="F44" s="33" t="s">
        <v>57</v>
      </c>
      <c r="G44" s="14"/>
      <c r="H44" s="14"/>
      <c r="I44" s="14"/>
      <c r="J44" s="14"/>
      <c r="K44" s="14"/>
      <c r="L44" s="14"/>
      <c r="M44" s="14"/>
      <c r="N44" s="14"/>
      <c r="O44" s="14"/>
      <c r="P44" s="14"/>
      <c r="Q44" s="14"/>
      <c r="R44" s="14"/>
      <c r="S44" s="14"/>
      <c r="T44" s="14"/>
      <c r="U44" s="14"/>
      <c r="V44" s="14"/>
      <c r="W44" s="14"/>
      <c r="X44" s="14"/>
      <c r="Y44" s="14"/>
      <c r="Z44" s="14"/>
      <c r="AA44" s="14"/>
      <c r="AB44" s="14"/>
    </row>
    <row r="45" spans="2:28" x14ac:dyDescent="0.25">
      <c r="B45" s="29" t="s">
        <v>58</v>
      </c>
      <c r="C45" s="30" t="s">
        <v>59</v>
      </c>
      <c r="D45" s="210">
        <v>88</v>
      </c>
      <c r="E45" s="49" t="str">
        <f t="shared" si="0"/>
        <v>mil</v>
      </c>
      <c r="F45" s="33" t="s">
        <v>60</v>
      </c>
      <c r="G45" s="14"/>
      <c r="H45" s="14"/>
      <c r="I45" s="14"/>
      <c r="J45" s="14"/>
      <c r="K45" s="14"/>
      <c r="L45" s="14"/>
      <c r="M45" s="14"/>
      <c r="N45" s="14"/>
      <c r="O45" s="14"/>
      <c r="P45" s="14"/>
      <c r="Q45" s="14"/>
      <c r="R45" s="14"/>
      <c r="S45" s="14"/>
      <c r="T45" s="14"/>
      <c r="U45" s="14"/>
      <c r="V45" s="14"/>
      <c r="W45" s="14"/>
      <c r="X45" s="14"/>
      <c r="Y45" s="14"/>
      <c r="Z45" s="14"/>
      <c r="AA45" s="14"/>
      <c r="AB45" s="14"/>
    </row>
    <row r="46" spans="2:28" x14ac:dyDescent="0.25">
      <c r="B46" s="29" t="s">
        <v>61</v>
      </c>
      <c r="C46" s="30" t="s">
        <v>62</v>
      </c>
      <c r="D46" s="50">
        <v>1</v>
      </c>
      <c r="E46" s="35" t="s">
        <v>63</v>
      </c>
      <c r="F46" s="33" t="s">
        <v>64</v>
      </c>
      <c r="G46" s="14"/>
      <c r="H46" s="14"/>
      <c r="I46" s="14"/>
      <c r="J46" s="14"/>
      <c r="K46" s="14"/>
      <c r="L46" s="14"/>
      <c r="M46" s="14"/>
      <c r="N46" s="14"/>
      <c r="O46" s="14"/>
      <c r="P46" s="14"/>
      <c r="Q46" s="14"/>
      <c r="R46" s="14"/>
      <c r="S46" s="14"/>
      <c r="T46" s="14"/>
      <c r="U46" s="14"/>
      <c r="V46" s="14"/>
      <c r="W46" s="14"/>
      <c r="X46" s="14"/>
      <c r="Y46" s="14"/>
      <c r="Z46" s="14"/>
      <c r="AA46" s="14"/>
      <c r="AB46" s="14"/>
    </row>
    <row r="47" spans="2:28" hidden="1" x14ac:dyDescent="0.25">
      <c r="B47" s="29" t="s">
        <v>65</v>
      </c>
      <c r="C47" s="30" t="str">
        <f>E46</f>
        <v>oz-Cu</v>
      </c>
      <c r="D47" s="48" t="str">
        <f>C47</f>
        <v>oz-Cu</v>
      </c>
      <c r="E47" s="45"/>
      <c r="F47" s="33"/>
      <c r="G47" s="14"/>
      <c r="H47" s="14"/>
      <c r="I47" s="14"/>
      <c r="J47" s="14"/>
      <c r="K47" s="14"/>
      <c r="L47" s="14"/>
      <c r="M47" s="14"/>
      <c r="N47" s="14"/>
      <c r="O47" s="14"/>
      <c r="P47" s="14"/>
      <c r="Q47" s="14"/>
      <c r="R47" s="14"/>
      <c r="S47" s="14"/>
      <c r="T47" s="14"/>
      <c r="U47" s="14"/>
      <c r="V47" s="14"/>
      <c r="W47" s="14"/>
      <c r="X47" s="14"/>
      <c r="Y47" s="14"/>
      <c r="Z47" s="14"/>
      <c r="AA47" s="14"/>
      <c r="AB47" s="14"/>
    </row>
    <row r="48" spans="2:28" hidden="1" x14ac:dyDescent="0.25">
      <c r="B48" s="29" t="s">
        <v>66</v>
      </c>
      <c r="C48" s="30"/>
      <c r="D48" s="51">
        <f>IF(D47="mm",D46, IF(D47="mil",D46*0.0254,D46*0.0347))</f>
        <v>3.4700000000000002E-2</v>
      </c>
      <c r="E48" s="45" t="s">
        <v>19</v>
      </c>
      <c r="F48" s="33"/>
      <c r="G48" s="14"/>
      <c r="H48" s="14"/>
      <c r="I48" s="14"/>
      <c r="J48" s="14"/>
      <c r="K48" s="14"/>
      <c r="L48" s="14"/>
      <c r="M48" s="14"/>
      <c r="N48" s="14"/>
      <c r="O48" s="14"/>
      <c r="P48" s="14"/>
      <c r="Q48" s="14"/>
      <c r="R48" s="14"/>
      <c r="S48" s="14"/>
      <c r="T48" s="14"/>
      <c r="U48" s="14"/>
      <c r="V48" s="14"/>
      <c r="W48" s="14"/>
      <c r="X48" s="14"/>
      <c r="Y48" s="14"/>
      <c r="Z48" s="14"/>
      <c r="AA48" s="14"/>
      <c r="AB48" s="14"/>
    </row>
    <row r="49" spans="1:28" ht="15" customHeight="1" x14ac:dyDescent="0.25">
      <c r="B49" s="52" t="s">
        <v>67</v>
      </c>
      <c r="C49" s="53" t="s">
        <v>68</v>
      </c>
      <c r="D49" s="54">
        <v>1.6800000000000002E-8</v>
      </c>
      <c r="E49" s="55" t="s">
        <v>69</v>
      </c>
      <c r="F49" s="56" t="s">
        <v>70</v>
      </c>
      <c r="G49" s="14"/>
      <c r="H49" s="14"/>
      <c r="I49" s="14"/>
      <c r="J49" s="14"/>
      <c r="K49" s="14"/>
      <c r="L49" s="14"/>
      <c r="M49" s="14"/>
      <c r="N49" s="14"/>
      <c r="O49" s="14"/>
      <c r="P49" s="14"/>
      <c r="Q49" s="14"/>
      <c r="R49" s="14"/>
      <c r="S49" s="14"/>
      <c r="T49" s="14"/>
      <c r="U49" s="14"/>
      <c r="V49" s="14"/>
      <c r="W49" s="14"/>
      <c r="X49" s="14"/>
      <c r="Y49" s="14"/>
      <c r="Z49" s="14"/>
      <c r="AA49" s="14"/>
      <c r="AB49" s="14"/>
    </row>
    <row r="50" spans="1:28" x14ac:dyDescent="0.25">
      <c r="B50" s="52" t="s">
        <v>71</v>
      </c>
      <c r="C50" s="53" t="s">
        <v>72</v>
      </c>
      <c r="D50" s="57">
        <v>0.39300000000000002</v>
      </c>
      <c r="E50" s="55" t="s">
        <v>73</v>
      </c>
      <c r="F50" s="56" t="s">
        <v>74</v>
      </c>
      <c r="G50" s="14"/>
      <c r="H50" s="14"/>
      <c r="I50" s="14"/>
      <c r="J50" s="14"/>
      <c r="K50" s="14"/>
      <c r="L50" s="14"/>
      <c r="M50" s="14"/>
      <c r="N50" s="14"/>
      <c r="O50" s="14"/>
      <c r="P50" s="14"/>
      <c r="Q50" s="14"/>
      <c r="R50" s="14"/>
      <c r="S50" s="14"/>
      <c r="T50" s="14"/>
      <c r="U50" s="14"/>
      <c r="V50" s="14"/>
      <c r="W50" s="14"/>
      <c r="X50" s="14"/>
      <c r="Y50" s="14"/>
      <c r="Z50" s="14"/>
      <c r="AA50" s="14"/>
      <c r="AB50" s="14"/>
    </row>
    <row r="51" spans="1:28" x14ac:dyDescent="0.25">
      <c r="B51" s="52" t="s">
        <v>75</v>
      </c>
      <c r="C51" s="58" t="s">
        <v>76</v>
      </c>
      <c r="D51" s="59">
        <v>1</v>
      </c>
      <c r="E51" s="55"/>
      <c r="F51" s="56" t="s">
        <v>77</v>
      </c>
      <c r="G51" s="14"/>
      <c r="H51" s="14"/>
      <c r="I51" s="14"/>
      <c r="J51" s="14"/>
      <c r="K51" s="14"/>
      <c r="L51" s="14"/>
      <c r="M51" s="14"/>
      <c r="N51" s="14"/>
      <c r="O51" s="14"/>
      <c r="P51" s="14"/>
      <c r="Q51" s="14"/>
      <c r="R51" s="14"/>
      <c r="S51" s="14"/>
      <c r="T51" s="14"/>
      <c r="U51" s="14"/>
      <c r="V51" s="14"/>
      <c r="W51" s="14"/>
      <c r="X51" s="14"/>
      <c r="Y51" s="14"/>
      <c r="Z51" s="14"/>
      <c r="AA51" s="14"/>
      <c r="AB51" s="14"/>
    </row>
    <row r="52" spans="1:28" x14ac:dyDescent="0.25">
      <c r="B52" s="52" t="s">
        <v>78</v>
      </c>
      <c r="C52" s="53" t="s">
        <v>79</v>
      </c>
      <c r="D52" s="60">
        <v>4</v>
      </c>
      <c r="E52" s="55" t="s">
        <v>9</v>
      </c>
      <c r="F52" s="56" t="s">
        <v>80</v>
      </c>
      <c r="G52" s="14"/>
      <c r="H52" s="14"/>
      <c r="I52" s="14"/>
      <c r="J52" s="14"/>
      <c r="K52" s="14"/>
      <c r="L52" s="14"/>
      <c r="M52" s="14"/>
      <c r="N52" s="14"/>
      <c r="O52" s="14"/>
      <c r="P52" s="14"/>
      <c r="Q52" s="14"/>
      <c r="R52" s="14"/>
      <c r="S52" s="14"/>
      <c r="T52" s="14"/>
      <c r="U52" s="14"/>
      <c r="V52" s="14"/>
      <c r="W52" s="14"/>
      <c r="X52" s="14"/>
      <c r="Y52" s="14"/>
      <c r="Z52" s="14"/>
      <c r="AA52" s="14"/>
      <c r="AB52" s="14"/>
    </row>
    <row r="53" spans="1:28" x14ac:dyDescent="0.25">
      <c r="B53" s="61" t="s">
        <v>81</v>
      </c>
      <c r="C53" s="62" t="s">
        <v>82</v>
      </c>
      <c r="D53" s="63">
        <f>D49*(1+(D50/100)*(D21-20))</f>
        <v>1.713012E-8</v>
      </c>
      <c r="E53" s="64" t="s">
        <v>83</v>
      </c>
      <c r="F53" s="65"/>
      <c r="G53" s="14"/>
      <c r="H53" s="14"/>
      <c r="I53" s="14"/>
      <c r="J53" s="14"/>
      <c r="K53" s="14"/>
      <c r="L53" s="14"/>
      <c r="M53" s="14"/>
      <c r="N53" s="14"/>
      <c r="O53" s="14"/>
      <c r="P53" s="14"/>
      <c r="Q53" s="14"/>
      <c r="R53" s="14"/>
      <c r="S53" s="14"/>
      <c r="T53" s="14"/>
      <c r="U53" s="14"/>
      <c r="V53" s="14"/>
      <c r="W53" s="14"/>
      <c r="X53" s="14"/>
      <c r="Y53" s="14"/>
      <c r="Z53" s="14"/>
      <c r="AA53" s="14"/>
      <c r="AB53" s="14"/>
    </row>
    <row r="54" spans="1:28" x14ac:dyDescent="0.25">
      <c r="A54" s="66"/>
      <c r="B54" s="67" t="s">
        <v>84</v>
      </c>
      <c r="C54" s="68" t="s">
        <v>85</v>
      </c>
      <c r="D54" s="69">
        <f>D57/D27</f>
        <v>0.18720000000000003</v>
      </c>
      <c r="E54" s="39"/>
      <c r="F54" s="65" t="s">
        <v>86</v>
      </c>
      <c r="G54" s="14"/>
      <c r="H54" s="14"/>
      <c r="I54" s="14"/>
      <c r="J54" s="14"/>
      <c r="K54" s="14"/>
      <c r="L54" s="14"/>
      <c r="M54" s="14"/>
      <c r="N54" s="14"/>
      <c r="O54" s="14"/>
      <c r="P54" s="14"/>
      <c r="Q54" s="14"/>
      <c r="R54" s="14"/>
      <c r="S54" s="14"/>
      <c r="T54" s="14"/>
      <c r="U54" s="14"/>
      <c r="V54" s="14"/>
      <c r="W54" s="14"/>
      <c r="X54" s="14"/>
      <c r="Y54" s="14"/>
      <c r="Z54" s="14"/>
      <c r="AA54" s="14"/>
      <c r="AB54" s="14"/>
    </row>
    <row r="55" spans="1:28" hidden="1" x14ac:dyDescent="0.25">
      <c r="A55" s="66"/>
      <c r="B55" s="61" t="s">
        <v>87</v>
      </c>
      <c r="C55" s="62" t="s">
        <v>88</v>
      </c>
      <c r="D55" s="70">
        <f>MAX(0,D32*(D57+D27)/2)</f>
        <v>2.968</v>
      </c>
      <c r="E55" s="71" t="s">
        <v>19</v>
      </c>
      <c r="F55" s="65"/>
      <c r="G55" s="14"/>
      <c r="H55" s="14"/>
      <c r="I55" s="14"/>
      <c r="J55" s="14"/>
      <c r="K55" s="14"/>
      <c r="L55" s="14"/>
      <c r="M55" s="14"/>
      <c r="N55" s="14"/>
      <c r="O55" s="14"/>
      <c r="P55" s="14"/>
      <c r="Q55" s="14"/>
      <c r="R55" s="14"/>
      <c r="S55" s="14"/>
      <c r="T55" s="14"/>
      <c r="U55" s="14"/>
      <c r="V55" s="14"/>
      <c r="W55" s="14"/>
      <c r="X55" s="14"/>
      <c r="Y55" s="14"/>
      <c r="Z55" s="14"/>
      <c r="AA55" s="14"/>
      <c r="AB55" s="14"/>
    </row>
    <row r="56" spans="1:28" hidden="1" x14ac:dyDescent="0.25">
      <c r="A56" s="66"/>
      <c r="B56" s="61" t="s">
        <v>89</v>
      </c>
      <c r="C56" s="62" t="s">
        <v>90</v>
      </c>
      <c r="D56" s="72">
        <f>(D27-D57)/(D27+D57)</f>
        <v>0.6846361185983828</v>
      </c>
      <c r="E56" s="71"/>
      <c r="F56" s="65"/>
      <c r="G56" s="14"/>
      <c r="H56" s="14"/>
      <c r="I56" s="14"/>
      <c r="J56" s="14"/>
      <c r="K56" s="14"/>
      <c r="L56" s="14"/>
      <c r="M56" s="14"/>
      <c r="N56" s="14"/>
      <c r="O56" s="14"/>
      <c r="P56" s="14"/>
      <c r="Q56" s="14"/>
      <c r="R56" s="14"/>
      <c r="S56" s="14"/>
      <c r="T56" s="14"/>
      <c r="U56" s="14"/>
      <c r="V56" s="14"/>
      <c r="W56" s="14"/>
      <c r="X56" s="14"/>
      <c r="Y56" s="14"/>
      <c r="Z56" s="14"/>
      <c r="AA56" s="14"/>
      <c r="AB56" s="14"/>
    </row>
    <row r="57" spans="1:28" hidden="1" x14ac:dyDescent="0.25">
      <c r="A57" s="66"/>
      <c r="B57" s="61" t="s">
        <v>91</v>
      </c>
      <c r="C57" s="62"/>
      <c r="D57" s="72">
        <f>D27-(2*D24+1)*D38-(2*D24-1)*D35</f>
        <v>0.93600000000000017</v>
      </c>
      <c r="E57" s="71" t="s">
        <v>19</v>
      </c>
      <c r="F57" s="65"/>
      <c r="G57" s="14"/>
      <c r="H57" s="14"/>
      <c r="I57" s="14"/>
      <c r="J57" s="14"/>
      <c r="K57" s="14"/>
      <c r="L57" s="14"/>
      <c r="M57" s="14"/>
      <c r="N57" s="14"/>
      <c r="O57" s="14"/>
      <c r="P57" s="14"/>
      <c r="Q57" s="14"/>
      <c r="R57" s="14"/>
      <c r="S57" s="14"/>
      <c r="T57" s="14"/>
      <c r="U57" s="14"/>
      <c r="V57" s="14"/>
      <c r="W57" s="14"/>
      <c r="X57" s="14"/>
      <c r="Y57" s="14"/>
      <c r="Z57" s="14"/>
      <c r="AA57" s="14"/>
      <c r="AB57" s="14"/>
    </row>
    <row r="58" spans="1:28" hidden="1" x14ac:dyDescent="0.25">
      <c r="A58" s="66"/>
      <c r="B58" s="61" t="s">
        <v>92</v>
      </c>
      <c r="C58" s="62" t="str">
        <f>E59</f>
        <v>mm</v>
      </c>
      <c r="D58" s="72" t="str">
        <f>C58</f>
        <v>mm</v>
      </c>
      <c r="E58" s="71"/>
      <c r="F58" s="65"/>
      <c r="G58" s="14"/>
      <c r="H58" s="14"/>
      <c r="I58" s="14"/>
      <c r="J58" s="14"/>
      <c r="K58" s="14"/>
      <c r="L58" s="14"/>
      <c r="M58" s="14"/>
      <c r="N58" s="14"/>
      <c r="O58" s="14"/>
      <c r="P58" s="14"/>
      <c r="Q58" s="14"/>
      <c r="R58" s="14"/>
      <c r="S58" s="14"/>
      <c r="T58" s="14"/>
      <c r="U58" s="14"/>
      <c r="V58" s="14"/>
      <c r="W58" s="14"/>
      <c r="X58" s="14"/>
      <c r="Y58" s="14"/>
      <c r="Z58" s="14"/>
      <c r="AA58" s="14"/>
      <c r="AB58" s="14"/>
    </row>
    <row r="59" spans="1:28" x14ac:dyDescent="0.25">
      <c r="A59" s="66"/>
      <c r="B59" s="61" t="s">
        <v>93</v>
      </c>
      <c r="C59" s="62" t="s">
        <v>94</v>
      </c>
      <c r="D59" s="73">
        <f>IF(D58="mm",D57,D57/0.0254)</f>
        <v>0.93600000000000017</v>
      </c>
      <c r="E59" s="35" t="s">
        <v>19</v>
      </c>
      <c r="F59" s="33" t="s">
        <v>95</v>
      </c>
      <c r="G59" s="14"/>
      <c r="H59" s="74"/>
      <c r="I59" s="14"/>
      <c r="J59" s="14"/>
      <c r="K59" s="14"/>
      <c r="L59" s="14"/>
      <c r="M59" s="14"/>
      <c r="N59" s="14"/>
      <c r="O59" s="14"/>
      <c r="P59" s="14"/>
      <c r="Q59" s="14"/>
      <c r="R59" s="14"/>
      <c r="S59" s="14"/>
      <c r="T59" s="14"/>
      <c r="U59" s="14"/>
      <c r="V59" s="14"/>
      <c r="W59" s="14"/>
      <c r="X59" s="14"/>
      <c r="Y59" s="14"/>
      <c r="Z59" s="14"/>
      <c r="AA59" s="14"/>
      <c r="AB59" s="14"/>
    </row>
    <row r="60" spans="1:28" x14ac:dyDescent="0.25">
      <c r="A60" s="66"/>
      <c r="B60" s="67" t="s">
        <v>96</v>
      </c>
      <c r="C60" s="68" t="s">
        <v>97</v>
      </c>
      <c r="D60" s="75">
        <f>0.5*4*PI()*0.0001*D24*D24*D55*(LN(2.46/D56)+0.2*D56*D56)</f>
        <v>0.16384112913920043</v>
      </c>
      <c r="E60" s="32" t="s">
        <v>98</v>
      </c>
      <c r="F60" s="76"/>
      <c r="G60" s="14"/>
      <c r="H60" s="14"/>
      <c r="I60" s="14"/>
      <c r="J60" s="14"/>
      <c r="K60" s="14"/>
      <c r="L60" s="14"/>
      <c r="M60" s="14"/>
      <c r="N60" s="14"/>
      <c r="O60" s="14"/>
      <c r="P60" s="14"/>
      <c r="Q60" s="14"/>
      <c r="R60" s="14"/>
      <c r="S60" s="14"/>
      <c r="T60" s="14"/>
      <c r="U60" s="14"/>
      <c r="V60" s="14"/>
      <c r="W60" s="14"/>
      <c r="X60" s="14"/>
      <c r="Y60" s="14"/>
      <c r="Z60" s="14"/>
      <c r="AA60" s="14"/>
      <c r="AB60" s="14"/>
    </row>
    <row r="61" spans="1:28" hidden="1" x14ac:dyDescent="0.25">
      <c r="A61" s="66"/>
      <c r="B61" s="77"/>
      <c r="C61" s="68"/>
      <c r="D61" s="200"/>
      <c r="E61" s="32"/>
      <c r="F61" s="76"/>
      <c r="G61" s="14"/>
      <c r="H61" s="14"/>
      <c r="I61" s="14"/>
      <c r="J61" s="14"/>
      <c r="K61" s="14"/>
      <c r="L61" s="14"/>
      <c r="M61" s="14"/>
      <c r="N61" s="14"/>
      <c r="O61" s="14"/>
      <c r="P61" s="14"/>
      <c r="Q61" s="14"/>
      <c r="R61" s="14"/>
      <c r="S61" s="14"/>
      <c r="T61" s="14"/>
      <c r="U61" s="14"/>
      <c r="V61" s="14"/>
      <c r="W61" s="14"/>
      <c r="X61" s="14"/>
      <c r="Y61" s="14"/>
      <c r="Z61" s="14"/>
      <c r="AA61" s="14"/>
      <c r="AB61" s="14"/>
    </row>
    <row r="62" spans="1:28" hidden="1" x14ac:dyDescent="0.25">
      <c r="A62" s="66"/>
      <c r="C62" s="78"/>
      <c r="D62" s="79"/>
      <c r="E62" s="80"/>
      <c r="F62" s="76"/>
      <c r="G62" s="14"/>
      <c r="H62" s="14"/>
      <c r="I62" s="14"/>
      <c r="J62" s="14"/>
      <c r="K62" s="14"/>
      <c r="L62" s="14"/>
      <c r="M62" s="14"/>
      <c r="N62" s="14"/>
      <c r="O62" s="14"/>
      <c r="P62" s="14"/>
      <c r="Q62" s="14"/>
      <c r="R62" s="14"/>
      <c r="S62" s="14"/>
      <c r="T62" s="14"/>
      <c r="U62" s="14"/>
      <c r="V62" s="14"/>
      <c r="W62" s="14"/>
      <c r="X62" s="14"/>
      <c r="Y62" s="14"/>
      <c r="Z62" s="14"/>
      <c r="AA62" s="14"/>
      <c r="AB62" s="14"/>
    </row>
    <row r="63" spans="1:28" hidden="1" x14ac:dyDescent="0.25">
      <c r="A63" s="66"/>
      <c r="B63" s="81" t="s">
        <v>99</v>
      </c>
      <c r="C63" s="78"/>
      <c r="D63" s="79">
        <f>IF(E39="mm",D39,D39*0.0254)</f>
        <v>0.30479999999999996</v>
      </c>
      <c r="E63" s="80" t="s">
        <v>19</v>
      </c>
      <c r="F63" s="76"/>
      <c r="G63" s="14"/>
      <c r="H63" s="14"/>
      <c r="I63" s="14"/>
      <c r="J63" s="14"/>
      <c r="K63" s="14"/>
      <c r="L63" s="14"/>
      <c r="M63" s="14"/>
      <c r="N63" s="14"/>
      <c r="O63" s="14"/>
      <c r="P63" s="14"/>
      <c r="Q63" s="14"/>
      <c r="R63" s="14"/>
      <c r="S63" s="14"/>
      <c r="T63" s="14"/>
      <c r="U63" s="14"/>
      <c r="V63" s="14"/>
      <c r="W63" s="14"/>
      <c r="X63" s="14"/>
      <c r="Y63" s="14"/>
      <c r="Z63" s="14"/>
      <c r="AA63" s="14"/>
      <c r="AB63" s="14"/>
    </row>
    <row r="64" spans="1:28" hidden="1" x14ac:dyDescent="0.25">
      <c r="A64" s="66"/>
      <c r="B64" s="81" t="s">
        <v>100</v>
      </c>
      <c r="C64" s="78"/>
      <c r="D64" s="79">
        <f t="shared" ref="D64:D69" si="1">IF(E40="mm",D40,D40*0.0254)</f>
        <v>0.20319999999999999</v>
      </c>
      <c r="E64" s="80" t="s">
        <v>19</v>
      </c>
      <c r="F64" s="76"/>
      <c r="G64" s="14"/>
      <c r="H64" s="14"/>
      <c r="I64" s="14"/>
      <c r="J64" s="14"/>
      <c r="K64" s="14"/>
      <c r="L64" s="14"/>
      <c r="M64" s="14"/>
      <c r="N64" s="14"/>
      <c r="O64" s="14"/>
      <c r="P64" s="14"/>
      <c r="Q64" s="14"/>
      <c r="R64" s="14"/>
      <c r="S64" s="14"/>
      <c r="T64" s="14"/>
      <c r="U64" s="14"/>
      <c r="V64" s="14"/>
      <c r="W64" s="14"/>
      <c r="X64" s="14"/>
      <c r="Y64" s="14"/>
      <c r="Z64" s="14"/>
      <c r="AA64" s="14"/>
      <c r="AB64" s="14"/>
    </row>
    <row r="65" spans="1:28" hidden="1" x14ac:dyDescent="0.25">
      <c r="A65" s="66"/>
      <c r="B65" s="81" t="s">
        <v>101</v>
      </c>
      <c r="C65" s="78"/>
      <c r="D65" s="79">
        <f t="shared" si="1"/>
        <v>0.20319999999999999</v>
      </c>
      <c r="E65" s="80" t="s">
        <v>19</v>
      </c>
      <c r="F65" s="76"/>
      <c r="G65" s="14"/>
      <c r="H65" s="14"/>
      <c r="I65" s="14"/>
      <c r="J65" s="14"/>
      <c r="K65" s="14"/>
      <c r="L65" s="14"/>
      <c r="M65" s="14"/>
      <c r="N65" s="14"/>
      <c r="O65" s="14"/>
      <c r="P65" s="14"/>
      <c r="Q65" s="14"/>
      <c r="R65" s="14"/>
      <c r="S65" s="14"/>
      <c r="T65" s="14"/>
      <c r="U65" s="14"/>
      <c r="V65" s="14"/>
      <c r="W65" s="14"/>
      <c r="X65" s="14"/>
      <c r="Y65" s="14"/>
      <c r="Z65" s="14"/>
      <c r="AA65" s="14"/>
      <c r="AB65" s="14"/>
    </row>
    <row r="66" spans="1:28" hidden="1" x14ac:dyDescent="0.25">
      <c r="A66" s="66"/>
      <c r="B66" s="81" t="s">
        <v>102</v>
      </c>
      <c r="C66" s="78"/>
      <c r="D66" s="79">
        <f t="shared" si="1"/>
        <v>0.20319999999999999</v>
      </c>
      <c r="E66" s="80" t="s">
        <v>19</v>
      </c>
      <c r="F66" s="76"/>
      <c r="G66" s="14"/>
      <c r="H66" s="14"/>
      <c r="I66" s="14"/>
      <c r="J66" s="14"/>
      <c r="K66" s="14"/>
      <c r="L66" s="14"/>
      <c r="M66" s="14"/>
      <c r="N66" s="14"/>
      <c r="O66" s="14"/>
      <c r="P66" s="14"/>
      <c r="Q66" s="14"/>
      <c r="R66" s="14"/>
      <c r="S66" s="14"/>
      <c r="T66" s="14"/>
      <c r="U66" s="14"/>
      <c r="V66" s="14"/>
      <c r="W66" s="14"/>
      <c r="X66" s="14"/>
      <c r="Y66" s="14"/>
      <c r="Z66" s="14"/>
      <c r="AA66" s="14"/>
      <c r="AB66" s="14"/>
    </row>
    <row r="67" spans="1:28" hidden="1" x14ac:dyDescent="0.25">
      <c r="A67" s="66"/>
      <c r="B67" s="81" t="s">
        <v>103</v>
      </c>
      <c r="C67" s="78"/>
      <c r="D67" s="79">
        <f t="shared" si="1"/>
        <v>0.20319999999999999</v>
      </c>
      <c r="E67" s="80" t="s">
        <v>19</v>
      </c>
      <c r="F67" s="76"/>
      <c r="G67" s="14"/>
      <c r="H67" s="14"/>
      <c r="I67" s="14"/>
      <c r="J67" s="14"/>
      <c r="K67" s="14"/>
      <c r="L67" s="14"/>
      <c r="M67" s="14"/>
      <c r="N67" s="14"/>
      <c r="O67" s="14"/>
      <c r="P67" s="14"/>
      <c r="Q67" s="14"/>
      <c r="R67" s="14"/>
      <c r="S67" s="14"/>
      <c r="T67" s="14"/>
      <c r="U67" s="14"/>
      <c r="V67" s="14"/>
      <c r="W67" s="14"/>
      <c r="X67" s="14"/>
      <c r="Y67" s="14"/>
      <c r="Z67" s="14"/>
      <c r="AA67" s="14"/>
      <c r="AB67" s="14"/>
    </row>
    <row r="68" spans="1:28" hidden="1" x14ac:dyDescent="0.25">
      <c r="A68" s="66"/>
      <c r="B68" s="81" t="s">
        <v>104</v>
      </c>
      <c r="C68" s="78"/>
      <c r="D68" s="79">
        <f t="shared" si="1"/>
        <v>0.20319999999999999</v>
      </c>
      <c r="E68" s="80" t="s">
        <v>19</v>
      </c>
      <c r="F68" s="76"/>
      <c r="G68" s="14"/>
      <c r="H68" s="14"/>
      <c r="I68" s="14"/>
      <c r="J68" s="14"/>
      <c r="K68" s="14"/>
      <c r="L68" s="14"/>
      <c r="M68" s="14"/>
      <c r="N68" s="14"/>
      <c r="O68" s="14"/>
      <c r="P68" s="14"/>
      <c r="Q68" s="14"/>
      <c r="R68" s="14"/>
      <c r="S68" s="14"/>
      <c r="T68" s="14"/>
      <c r="U68" s="14"/>
      <c r="V68" s="14"/>
      <c r="W68" s="14"/>
      <c r="X68" s="14"/>
      <c r="Y68" s="14"/>
      <c r="Z68" s="14"/>
      <c r="AA68" s="14"/>
      <c r="AB68" s="14"/>
    </row>
    <row r="69" spans="1:28" hidden="1" x14ac:dyDescent="0.25">
      <c r="A69" s="66"/>
      <c r="B69" s="81" t="s">
        <v>105</v>
      </c>
      <c r="D69" s="79">
        <f t="shared" si="1"/>
        <v>2.2351999999999999</v>
      </c>
      <c r="E69" s="80" t="s">
        <v>19</v>
      </c>
      <c r="F69" s="76"/>
      <c r="G69" s="14"/>
      <c r="H69" s="14"/>
      <c r="I69" s="14"/>
      <c r="J69" s="14"/>
      <c r="K69" s="14"/>
      <c r="L69" s="14"/>
      <c r="M69" s="14"/>
      <c r="N69" s="14"/>
      <c r="O69" s="14"/>
      <c r="P69" s="14"/>
      <c r="Q69" s="14"/>
      <c r="R69" s="14"/>
      <c r="S69" s="14"/>
      <c r="T69" s="14"/>
      <c r="U69" s="14"/>
      <c r="V69" s="14"/>
      <c r="W69" s="14"/>
      <c r="X69" s="14"/>
      <c r="Y69" s="14"/>
      <c r="Z69" s="14"/>
      <c r="AA69" s="14"/>
      <c r="AB69" s="14"/>
    </row>
    <row r="70" spans="1:28" hidden="1" x14ac:dyDescent="0.25">
      <c r="A70" s="66"/>
      <c r="B70" s="81"/>
      <c r="D70" s="79"/>
      <c r="E70" s="82"/>
      <c r="F70" s="76"/>
      <c r="G70" s="14"/>
      <c r="H70" s="14"/>
      <c r="I70" s="14"/>
      <c r="J70" s="14"/>
      <c r="K70" s="14"/>
      <c r="L70" s="14"/>
      <c r="M70" s="14"/>
      <c r="N70" s="14"/>
      <c r="O70" s="14"/>
      <c r="P70" s="14"/>
      <c r="Q70" s="14"/>
      <c r="R70" s="14"/>
      <c r="S70" s="14"/>
      <c r="T70" s="14"/>
      <c r="U70" s="14"/>
      <c r="V70" s="14"/>
      <c r="W70" s="14"/>
      <c r="X70" s="14"/>
      <c r="Y70" s="14"/>
      <c r="Z70" s="14"/>
      <c r="AA70" s="14"/>
      <c r="AB70" s="14"/>
    </row>
    <row r="71" spans="1:28" hidden="1" x14ac:dyDescent="0.25">
      <c r="A71" s="66"/>
      <c r="B71" s="81"/>
      <c r="C71" s="82"/>
      <c r="D71" s="79">
        <f>IF(E46="mm",D46,D46*0.0254)</f>
        <v>2.5399999999999999E-2</v>
      </c>
      <c r="E71" s="82"/>
      <c r="F71" s="76"/>
      <c r="G71" s="14"/>
      <c r="H71" s="14"/>
      <c r="I71" s="14"/>
      <c r="J71" s="14"/>
      <c r="K71" s="14"/>
      <c r="L71" s="14"/>
      <c r="M71" s="14"/>
      <c r="N71" s="14"/>
      <c r="O71" s="14"/>
      <c r="P71" s="14"/>
      <c r="Q71" s="14"/>
      <c r="R71" s="14"/>
      <c r="S71" s="14"/>
      <c r="T71" s="14"/>
      <c r="U71" s="14"/>
      <c r="V71" s="14"/>
      <c r="W71" s="14"/>
      <c r="X71" s="14"/>
      <c r="Y71" s="14"/>
      <c r="Z71" s="14"/>
      <c r="AA71" s="14"/>
      <c r="AB71" s="14"/>
    </row>
    <row r="72" spans="1:28" hidden="1" x14ac:dyDescent="0.25">
      <c r="A72" s="66"/>
      <c r="B72" s="82" t="s">
        <v>106</v>
      </c>
      <c r="D72" s="83">
        <f>D24</f>
        <v>8</v>
      </c>
      <c r="E72" s="82"/>
      <c r="F72" s="76"/>
      <c r="G72" s="14"/>
      <c r="H72" s="14"/>
      <c r="I72" s="14"/>
      <c r="J72" s="14"/>
      <c r="K72" s="14"/>
      <c r="L72" s="14"/>
      <c r="M72" s="14"/>
      <c r="N72" s="14"/>
      <c r="O72" s="14"/>
      <c r="P72" s="14"/>
      <c r="Q72" s="14"/>
      <c r="R72" s="14"/>
      <c r="S72" s="14"/>
      <c r="T72" s="14"/>
      <c r="U72" s="14"/>
      <c r="V72" s="14"/>
      <c r="W72" s="14"/>
      <c r="X72" s="14"/>
      <c r="Y72" s="14"/>
      <c r="Z72" s="14"/>
      <c r="AA72" s="14"/>
      <c r="AB72" s="14"/>
    </row>
    <row r="73" spans="1:28" hidden="1" x14ac:dyDescent="0.25">
      <c r="A73" s="66"/>
      <c r="B73" s="82" t="s">
        <v>107</v>
      </c>
      <c r="D73" s="84">
        <f>D60</f>
        <v>0.16384112913920043</v>
      </c>
      <c r="E73" s="85" t="s">
        <v>108</v>
      </c>
      <c r="F73" s="76"/>
      <c r="G73" s="14"/>
      <c r="H73" s="14"/>
      <c r="I73" s="14"/>
      <c r="J73" s="14"/>
      <c r="K73" s="14"/>
      <c r="L73" s="14"/>
      <c r="M73" s="14"/>
      <c r="N73" s="14"/>
      <c r="O73" s="14"/>
      <c r="P73" s="14"/>
      <c r="Q73" s="14"/>
      <c r="R73" s="14"/>
      <c r="S73" s="14"/>
      <c r="T73" s="14"/>
      <c r="U73" s="14"/>
      <c r="V73" s="14"/>
      <c r="W73" s="14"/>
      <c r="X73" s="14"/>
      <c r="Y73" s="14"/>
      <c r="Z73" s="14"/>
      <c r="AA73" s="14"/>
      <c r="AB73" s="14"/>
    </row>
    <row r="74" spans="1:28" hidden="1" x14ac:dyDescent="0.25">
      <c r="A74" s="66"/>
      <c r="B74" s="82" t="s">
        <v>109</v>
      </c>
      <c r="D74" s="86">
        <f>D23</f>
        <v>2</v>
      </c>
      <c r="E74" s="82"/>
      <c r="F74" s="76"/>
      <c r="G74" s="14"/>
      <c r="H74" s="14"/>
      <c r="I74" s="14"/>
      <c r="J74" s="14"/>
      <c r="K74" s="14"/>
      <c r="L74" s="14"/>
      <c r="M74" s="14"/>
      <c r="N74" s="14"/>
      <c r="O74" s="14"/>
      <c r="P74" s="14"/>
      <c r="Q74" s="14"/>
      <c r="R74" s="14"/>
      <c r="S74" s="14"/>
      <c r="T74" s="14"/>
      <c r="U74" s="14"/>
      <c r="V74" s="14"/>
      <c r="W74" s="14"/>
      <c r="X74" s="14"/>
      <c r="Y74" s="14"/>
      <c r="Z74" s="14"/>
      <c r="AA74" s="14"/>
      <c r="AB74" s="14"/>
    </row>
    <row r="75" spans="1:28" hidden="1" x14ac:dyDescent="0.25">
      <c r="A75" s="66"/>
      <c r="B75" s="82" t="s">
        <v>110</v>
      </c>
      <c r="D75" s="87">
        <f>D224</f>
        <v>4</v>
      </c>
      <c r="E75" s="82" t="s">
        <v>19</v>
      </c>
      <c r="F75" s="76"/>
      <c r="G75" s="14"/>
      <c r="H75" s="14"/>
      <c r="I75" s="14"/>
      <c r="J75" s="14"/>
      <c r="K75" s="14"/>
      <c r="L75" s="14"/>
      <c r="M75" s="14"/>
      <c r="N75" s="14"/>
      <c r="O75" s="14"/>
      <c r="P75" s="14"/>
      <c r="Q75" s="14"/>
      <c r="R75" s="14"/>
      <c r="S75" s="14"/>
      <c r="T75" s="14"/>
      <c r="U75" s="14"/>
      <c r="V75" s="14"/>
      <c r="W75" s="14"/>
      <c r="X75" s="14"/>
      <c r="Y75" s="14"/>
      <c r="Z75" s="14"/>
      <c r="AA75" s="14"/>
      <c r="AB75" s="14"/>
    </row>
    <row r="76" spans="1:28" hidden="1" x14ac:dyDescent="0.25">
      <c r="A76" s="66"/>
      <c r="B76" s="82" t="s">
        <v>111</v>
      </c>
      <c r="D76" s="88">
        <f>D63</f>
        <v>0.30479999999999996</v>
      </c>
      <c r="E76" s="82" t="s">
        <v>19</v>
      </c>
      <c r="F76" s="76"/>
      <c r="G76" s="14"/>
      <c r="H76" s="14"/>
      <c r="I76" s="14"/>
      <c r="J76" s="14"/>
      <c r="K76" s="14"/>
      <c r="L76" s="14"/>
      <c r="M76" s="14"/>
      <c r="N76" s="14"/>
      <c r="O76" s="14"/>
      <c r="P76" s="14"/>
      <c r="Q76" s="14"/>
      <c r="R76" s="14"/>
      <c r="S76" s="14"/>
      <c r="T76" s="14"/>
      <c r="U76" s="14"/>
      <c r="V76" s="14"/>
      <c r="W76" s="14"/>
      <c r="X76" s="14"/>
      <c r="Y76" s="14"/>
      <c r="Z76" s="14"/>
      <c r="AA76" s="14"/>
      <c r="AB76" s="14"/>
    </row>
    <row r="77" spans="1:28" hidden="1" x14ac:dyDescent="0.25">
      <c r="A77" s="66"/>
      <c r="B77" s="82" t="s">
        <v>112</v>
      </c>
      <c r="D77" s="88">
        <f>D89</f>
        <v>0.20319999999999999</v>
      </c>
      <c r="E77" s="82" t="s">
        <v>19</v>
      </c>
      <c r="F77" s="76"/>
      <c r="G77" s="14"/>
      <c r="H77" s="14"/>
      <c r="I77" s="14"/>
      <c r="J77" s="14"/>
      <c r="K77" s="14"/>
      <c r="L77" s="14"/>
      <c r="M77" s="14"/>
      <c r="N77" s="14"/>
      <c r="O77" s="14"/>
      <c r="P77" s="14"/>
      <c r="Q77" s="14"/>
      <c r="R77" s="14"/>
      <c r="S77" s="14"/>
      <c r="T77" s="14"/>
      <c r="U77" s="14"/>
      <c r="V77" s="14"/>
      <c r="W77" s="14"/>
      <c r="X77" s="14"/>
      <c r="Y77" s="14"/>
      <c r="Z77" s="14"/>
      <c r="AA77" s="14"/>
      <c r="AB77" s="14"/>
    </row>
    <row r="78" spans="1:28" hidden="1" x14ac:dyDescent="0.25">
      <c r="A78" s="66"/>
      <c r="B78" s="82" t="s">
        <v>113</v>
      </c>
      <c r="D78" s="88">
        <f>D88</f>
        <v>0.20319999999999999</v>
      </c>
      <c r="E78" s="82" t="s">
        <v>19</v>
      </c>
      <c r="F78" s="76"/>
      <c r="G78" s="14"/>
      <c r="H78" s="14"/>
      <c r="I78" s="14"/>
      <c r="J78" s="14"/>
      <c r="K78" s="14"/>
      <c r="L78" s="14"/>
      <c r="M78" s="14"/>
      <c r="N78" s="14"/>
      <c r="O78" s="14"/>
      <c r="P78" s="14"/>
      <c r="Q78" s="14"/>
      <c r="R78" s="14"/>
      <c r="S78" s="14"/>
      <c r="T78" s="14"/>
      <c r="U78" s="14"/>
      <c r="V78" s="14"/>
      <c r="W78" s="14"/>
      <c r="X78" s="14"/>
      <c r="Y78" s="14"/>
      <c r="Z78" s="14"/>
      <c r="AA78" s="14"/>
      <c r="AB78" s="14"/>
    </row>
    <row r="79" spans="1:28" hidden="1" x14ac:dyDescent="0.25">
      <c r="A79" s="66"/>
      <c r="B79" s="82" t="s">
        <v>114</v>
      </c>
      <c r="D79" s="88">
        <f>D87</f>
        <v>0.20319999999999999</v>
      </c>
      <c r="E79" s="82" t="s">
        <v>19</v>
      </c>
      <c r="F79" s="76"/>
      <c r="G79" s="14"/>
      <c r="H79" s="14"/>
      <c r="I79" s="14"/>
      <c r="J79" s="14"/>
      <c r="K79" s="14"/>
      <c r="L79" s="14"/>
      <c r="M79" s="14"/>
      <c r="N79" s="14"/>
      <c r="O79" s="14"/>
      <c r="P79" s="14"/>
      <c r="Q79" s="14"/>
      <c r="R79" s="14"/>
      <c r="S79" s="14"/>
      <c r="T79" s="14"/>
      <c r="U79" s="14"/>
      <c r="V79" s="14"/>
      <c r="W79" s="14"/>
      <c r="X79" s="14"/>
      <c r="Y79" s="14"/>
      <c r="Z79" s="14"/>
      <c r="AA79" s="14"/>
      <c r="AB79" s="14"/>
    </row>
    <row r="80" spans="1:28" hidden="1" x14ac:dyDescent="0.25">
      <c r="A80" s="66"/>
      <c r="B80" s="82" t="s">
        <v>115</v>
      </c>
      <c r="D80" s="88">
        <f>D86</f>
        <v>0.20319999999999999</v>
      </c>
      <c r="E80" s="82" t="s">
        <v>19</v>
      </c>
      <c r="F80" s="76"/>
      <c r="G80" s="14"/>
      <c r="H80" s="14"/>
      <c r="I80" s="14"/>
      <c r="J80" s="14"/>
      <c r="K80" s="14"/>
      <c r="L80" s="14"/>
      <c r="M80" s="14"/>
      <c r="N80" s="14"/>
      <c r="O80" s="14"/>
      <c r="P80" s="14"/>
      <c r="Q80" s="14"/>
      <c r="R80" s="14"/>
      <c r="S80" s="14"/>
      <c r="T80" s="14"/>
      <c r="U80" s="14"/>
      <c r="V80" s="14"/>
      <c r="W80" s="14"/>
      <c r="X80" s="14"/>
      <c r="Y80" s="14"/>
      <c r="Z80" s="14"/>
      <c r="AA80" s="14"/>
      <c r="AB80" s="14"/>
    </row>
    <row r="81" spans="1:28" hidden="1" x14ac:dyDescent="0.25">
      <c r="A81" s="66"/>
      <c r="B81" s="82" t="s">
        <v>116</v>
      </c>
      <c r="D81" s="88">
        <f>D85</f>
        <v>0.20319999999999999</v>
      </c>
      <c r="E81" s="82" t="s">
        <v>19</v>
      </c>
      <c r="F81" s="76"/>
      <c r="G81" s="14"/>
      <c r="H81" s="14"/>
      <c r="I81" s="14"/>
      <c r="J81" s="14"/>
      <c r="K81" s="14"/>
      <c r="L81" s="14"/>
      <c r="M81" s="14"/>
      <c r="N81" s="14"/>
      <c r="O81" s="14"/>
      <c r="P81" s="14"/>
      <c r="Q81" s="14"/>
      <c r="R81" s="14"/>
      <c r="S81" s="14"/>
      <c r="T81" s="14"/>
      <c r="U81" s="14"/>
      <c r="V81" s="14"/>
      <c r="W81" s="14"/>
      <c r="X81" s="14"/>
      <c r="Y81" s="14"/>
      <c r="Z81" s="14"/>
      <c r="AA81" s="14"/>
      <c r="AB81" s="14"/>
    </row>
    <row r="82" spans="1:28" hidden="1" x14ac:dyDescent="0.25">
      <c r="A82" s="66"/>
      <c r="B82" s="82" t="s">
        <v>117</v>
      </c>
      <c r="D82" s="88">
        <f>D84</f>
        <v>0.30479999999999996</v>
      </c>
      <c r="E82" s="82" t="s">
        <v>19</v>
      </c>
      <c r="F82" s="76"/>
      <c r="G82" s="14"/>
      <c r="H82" s="14"/>
      <c r="I82" s="14"/>
      <c r="J82" s="14"/>
      <c r="K82" s="14"/>
      <c r="L82" s="14"/>
      <c r="M82" s="14"/>
      <c r="N82" s="14"/>
      <c r="O82" s="14"/>
      <c r="P82" s="14"/>
      <c r="Q82" s="14"/>
      <c r="R82" s="14"/>
      <c r="S82" s="14"/>
      <c r="T82" s="14"/>
      <c r="U82" s="14"/>
      <c r="V82" s="14"/>
      <c r="W82" s="14"/>
      <c r="X82" s="14"/>
      <c r="Y82" s="14"/>
      <c r="Z82" s="14"/>
      <c r="AA82" s="14"/>
      <c r="AB82" s="14"/>
    </row>
    <row r="83" spans="1:28" hidden="1" x14ac:dyDescent="0.25">
      <c r="A83" s="66"/>
      <c r="B83" s="82" t="s">
        <v>118</v>
      </c>
      <c r="D83" s="89">
        <f>2*D75</f>
        <v>8</v>
      </c>
      <c r="E83" s="82" t="s">
        <v>19</v>
      </c>
      <c r="F83" s="76"/>
      <c r="G83" s="14"/>
      <c r="H83" s="14"/>
      <c r="I83" s="14"/>
      <c r="J83" s="14"/>
      <c r="K83" s="14"/>
      <c r="L83" s="14"/>
      <c r="M83" s="14"/>
      <c r="N83" s="14"/>
      <c r="O83" s="14"/>
      <c r="P83" s="14"/>
      <c r="Q83" s="14"/>
      <c r="R83" s="14"/>
      <c r="S83" s="14"/>
      <c r="T83" s="14"/>
      <c r="U83" s="14"/>
      <c r="V83" s="14"/>
      <c r="W83" s="14"/>
      <c r="X83" s="14"/>
      <c r="Y83" s="14"/>
      <c r="Z83" s="14"/>
      <c r="AA83" s="14"/>
      <c r="AB83" s="14"/>
    </row>
    <row r="84" spans="1:28" hidden="1" x14ac:dyDescent="0.25">
      <c r="A84" s="66"/>
      <c r="B84" s="82" t="s">
        <v>119</v>
      </c>
      <c r="D84" s="84">
        <f>D63</f>
        <v>0.30479999999999996</v>
      </c>
      <c r="E84" s="82" t="s">
        <v>19</v>
      </c>
      <c r="F84" s="76"/>
      <c r="G84" s="14"/>
      <c r="H84" s="14"/>
      <c r="I84" s="14"/>
      <c r="J84" s="14"/>
      <c r="K84" s="14"/>
      <c r="L84" s="14"/>
      <c r="M84" s="14"/>
      <c r="N84" s="14"/>
      <c r="O84" s="14"/>
      <c r="P84" s="14"/>
      <c r="Q84" s="14"/>
      <c r="R84" s="14"/>
      <c r="S84" s="14"/>
      <c r="T84" s="14"/>
      <c r="U84" s="14"/>
      <c r="V84" s="14"/>
      <c r="W84" s="14"/>
      <c r="X84" s="14"/>
      <c r="Y84" s="14"/>
      <c r="Z84" s="14"/>
      <c r="AA84" s="14"/>
      <c r="AB84" s="14"/>
    </row>
    <row r="85" spans="1:28" hidden="1" x14ac:dyDescent="0.25">
      <c r="A85" s="66"/>
      <c r="B85" s="82" t="s">
        <v>120</v>
      </c>
      <c r="D85" s="84">
        <f t="shared" ref="D85:D90" si="2">D64</f>
        <v>0.20319999999999999</v>
      </c>
      <c r="E85" s="82" t="s">
        <v>19</v>
      </c>
      <c r="F85" s="76"/>
      <c r="G85" s="14"/>
      <c r="H85" s="14"/>
      <c r="I85" s="14"/>
      <c r="J85" s="14"/>
      <c r="K85" s="14"/>
      <c r="L85" s="14"/>
      <c r="M85" s="14"/>
      <c r="N85" s="14"/>
      <c r="O85" s="14"/>
      <c r="P85" s="14"/>
      <c r="Q85" s="14"/>
      <c r="R85" s="14"/>
      <c r="S85" s="14"/>
      <c r="T85" s="14"/>
      <c r="U85" s="14"/>
      <c r="V85" s="14"/>
      <c r="W85" s="14"/>
      <c r="X85" s="14"/>
      <c r="Y85" s="14"/>
      <c r="Z85" s="14"/>
      <c r="AA85" s="14"/>
      <c r="AB85" s="14"/>
    </row>
    <row r="86" spans="1:28" hidden="1" x14ac:dyDescent="0.25">
      <c r="A86" s="66"/>
      <c r="B86" s="82" t="s">
        <v>121</v>
      </c>
      <c r="D86" s="84">
        <f t="shared" si="2"/>
        <v>0.20319999999999999</v>
      </c>
      <c r="E86" s="82" t="s">
        <v>19</v>
      </c>
      <c r="F86" s="76"/>
      <c r="G86" s="14"/>
      <c r="H86" s="14"/>
      <c r="I86" s="14"/>
      <c r="J86" s="14"/>
      <c r="K86" s="14"/>
      <c r="L86" s="14"/>
      <c r="M86" s="14"/>
      <c r="N86" s="14"/>
      <c r="O86" s="14"/>
      <c r="P86" s="14"/>
      <c r="Q86" s="14"/>
      <c r="R86" s="14"/>
      <c r="S86" s="14"/>
      <c r="T86" s="14"/>
      <c r="U86" s="14"/>
      <c r="V86" s="14"/>
      <c r="W86" s="14"/>
      <c r="X86" s="14"/>
      <c r="Y86" s="14"/>
      <c r="Z86" s="14"/>
      <c r="AA86" s="14"/>
      <c r="AB86" s="14"/>
    </row>
    <row r="87" spans="1:28" hidden="1" x14ac:dyDescent="0.25">
      <c r="A87" s="66"/>
      <c r="B87" s="82" t="s">
        <v>122</v>
      </c>
      <c r="D87" s="84">
        <f t="shared" si="2"/>
        <v>0.20319999999999999</v>
      </c>
      <c r="E87" s="82" t="s">
        <v>19</v>
      </c>
      <c r="F87" s="76"/>
      <c r="G87" s="14"/>
      <c r="H87" s="14"/>
      <c r="I87" s="14"/>
      <c r="J87" s="14"/>
      <c r="K87" s="14"/>
      <c r="L87" s="14"/>
      <c r="M87" s="14"/>
      <c r="N87" s="14"/>
      <c r="O87" s="14"/>
      <c r="P87" s="14"/>
      <c r="Q87" s="14"/>
      <c r="R87" s="14"/>
      <c r="S87" s="14"/>
      <c r="T87" s="14"/>
      <c r="U87" s="14"/>
      <c r="V87" s="14"/>
      <c r="W87" s="14"/>
      <c r="X87" s="14"/>
      <c r="Y87" s="14"/>
      <c r="Z87" s="14"/>
      <c r="AA87" s="14"/>
      <c r="AB87" s="14"/>
    </row>
    <row r="88" spans="1:28" hidden="1" x14ac:dyDescent="0.25">
      <c r="A88" s="66"/>
      <c r="B88" s="82" t="s">
        <v>123</v>
      </c>
      <c r="D88" s="84">
        <f t="shared" si="2"/>
        <v>0.20319999999999999</v>
      </c>
      <c r="E88" s="82" t="s">
        <v>19</v>
      </c>
      <c r="F88" s="76"/>
      <c r="G88" s="14"/>
      <c r="H88" s="14"/>
      <c r="I88" s="14"/>
      <c r="J88" s="14"/>
      <c r="K88" s="14"/>
      <c r="L88" s="14"/>
      <c r="M88" s="14"/>
      <c r="N88" s="14"/>
      <c r="O88" s="14"/>
      <c r="P88" s="14"/>
      <c r="Q88" s="14"/>
      <c r="R88" s="14"/>
      <c r="S88" s="14"/>
      <c r="T88" s="14"/>
      <c r="U88" s="14"/>
      <c r="V88" s="14"/>
      <c r="W88" s="14"/>
      <c r="X88" s="14"/>
      <c r="Y88" s="14"/>
      <c r="Z88" s="14"/>
      <c r="AA88" s="14"/>
      <c r="AB88" s="14"/>
    </row>
    <row r="89" spans="1:28" hidden="1" x14ac:dyDescent="0.25">
      <c r="A89" s="66"/>
      <c r="B89" s="82" t="s">
        <v>124</v>
      </c>
      <c r="D89" s="84">
        <f t="shared" si="2"/>
        <v>0.20319999999999999</v>
      </c>
      <c r="E89" s="82" t="s">
        <v>19</v>
      </c>
      <c r="F89" s="76"/>
      <c r="G89" s="14"/>
      <c r="H89" s="14"/>
      <c r="I89" s="14"/>
      <c r="J89" s="14"/>
      <c r="K89" s="14"/>
      <c r="L89" s="14"/>
      <c r="M89" s="14"/>
      <c r="N89" s="14"/>
      <c r="O89" s="14"/>
      <c r="P89" s="14"/>
      <c r="Q89" s="14"/>
      <c r="R89" s="14"/>
      <c r="S89" s="14"/>
      <c r="T89" s="14"/>
      <c r="U89" s="14"/>
      <c r="V89" s="14"/>
      <c r="W89" s="14"/>
      <c r="X89" s="14"/>
      <c r="Y89" s="14"/>
      <c r="Z89" s="14"/>
      <c r="AA89" s="14"/>
      <c r="AB89" s="14"/>
    </row>
    <row r="90" spans="1:28" hidden="1" x14ac:dyDescent="0.25">
      <c r="A90" s="66"/>
      <c r="B90" s="82" t="s">
        <v>125</v>
      </c>
      <c r="D90" s="84">
        <f t="shared" si="2"/>
        <v>2.2351999999999999</v>
      </c>
      <c r="E90" s="82" t="s">
        <v>19</v>
      </c>
      <c r="F90" s="76"/>
      <c r="G90" s="14"/>
      <c r="H90" s="14"/>
      <c r="I90" s="14"/>
      <c r="J90" s="14"/>
      <c r="K90" s="14"/>
      <c r="L90" s="14"/>
      <c r="M90" s="14"/>
      <c r="N90" s="14"/>
      <c r="O90" s="14"/>
      <c r="P90" s="14"/>
      <c r="Q90" s="14"/>
      <c r="R90" s="14"/>
      <c r="S90" s="14"/>
      <c r="T90" s="14"/>
      <c r="U90" s="14"/>
      <c r="V90" s="14"/>
      <c r="W90" s="14"/>
      <c r="X90" s="14"/>
      <c r="Y90" s="14"/>
      <c r="Z90" s="14"/>
      <c r="AA90" s="14"/>
      <c r="AB90" s="14"/>
    </row>
    <row r="91" spans="1:28" hidden="1" x14ac:dyDescent="0.25">
      <c r="A91" s="66"/>
      <c r="B91" s="82" t="s">
        <v>126</v>
      </c>
      <c r="D91" s="84">
        <f>1.5625*D72^2/(1.67*D72^2-5.84*D72+65)</f>
        <v>0.79897730904442321</v>
      </c>
      <c r="E91" s="82"/>
      <c r="F91" s="76"/>
      <c r="G91" s="14"/>
      <c r="H91" s="14"/>
      <c r="I91" s="14"/>
      <c r="J91" s="14"/>
      <c r="K91" s="14"/>
      <c r="L91" s="14"/>
      <c r="M91" s="14"/>
      <c r="N91" s="14"/>
      <c r="O91" s="14"/>
      <c r="P91" s="14"/>
      <c r="Q91" s="14"/>
      <c r="R91" s="14"/>
      <c r="S91" s="14"/>
      <c r="T91" s="14"/>
      <c r="U91" s="14"/>
      <c r="V91" s="14"/>
      <c r="W91" s="14"/>
      <c r="X91" s="14"/>
      <c r="Y91" s="14"/>
      <c r="Z91" s="14"/>
      <c r="AA91" s="14"/>
      <c r="AB91" s="14"/>
    </row>
    <row r="92" spans="1:28" hidden="1" x14ac:dyDescent="0.25">
      <c r="A92" s="66"/>
      <c r="B92" s="82" t="s">
        <v>127</v>
      </c>
      <c r="D92" s="90">
        <f>(2*SUM(D99:D126))</f>
        <v>1.5700822660904721</v>
      </c>
      <c r="E92" s="82"/>
      <c r="F92" s="76"/>
      <c r="G92" s="14"/>
      <c r="H92" s="14"/>
      <c r="I92" s="14"/>
      <c r="J92" s="14"/>
      <c r="K92" s="14"/>
      <c r="L92" s="14"/>
      <c r="M92" s="14"/>
      <c r="N92" s="14"/>
      <c r="O92" s="14"/>
      <c r="P92" s="14"/>
      <c r="Q92" s="14"/>
      <c r="R92" s="14"/>
      <c r="S92" s="14"/>
      <c r="T92" s="14"/>
      <c r="U92" s="14"/>
      <c r="V92" s="14"/>
      <c r="W92" s="14"/>
      <c r="X92" s="14"/>
      <c r="Y92" s="14"/>
      <c r="Z92" s="14"/>
      <c r="AA92" s="14"/>
      <c r="AB92" s="14"/>
    </row>
    <row r="93" spans="1:28" hidden="1" x14ac:dyDescent="0.25">
      <c r="A93" s="66"/>
      <c r="B93" s="82" t="s">
        <v>128</v>
      </c>
      <c r="D93" s="90">
        <f>D92*D91+D74</f>
        <v>3.2544601039393353</v>
      </c>
      <c r="E93" s="82"/>
      <c r="F93" s="76"/>
      <c r="G93" s="14"/>
      <c r="H93" s="14"/>
      <c r="I93" s="14"/>
      <c r="J93" s="14"/>
      <c r="K93" s="14"/>
      <c r="L93" s="14"/>
      <c r="M93" s="14"/>
      <c r="N93" s="14"/>
      <c r="O93" s="14"/>
      <c r="P93" s="14"/>
      <c r="Q93" s="14"/>
      <c r="R93" s="14"/>
      <c r="S93" s="14"/>
      <c r="T93" s="14"/>
      <c r="U93" s="14"/>
      <c r="V93" s="14"/>
      <c r="W93" s="14"/>
      <c r="X93" s="14"/>
      <c r="Y93" s="14"/>
      <c r="Z93" s="14"/>
      <c r="AA93" s="14"/>
      <c r="AB93" s="14"/>
    </row>
    <row r="94" spans="1:28" hidden="1" x14ac:dyDescent="0.25">
      <c r="A94" s="66"/>
      <c r="B94" s="91" t="s">
        <v>129</v>
      </c>
      <c r="D94" s="92">
        <f>D93*D73</f>
        <v>0.53321441816790027</v>
      </c>
      <c r="E94" s="82"/>
      <c r="F94" s="76"/>
      <c r="G94" s="14"/>
      <c r="H94" s="14"/>
      <c r="I94" s="14"/>
      <c r="J94" s="14"/>
      <c r="K94" s="14"/>
      <c r="L94" s="14"/>
      <c r="M94" s="14"/>
      <c r="N94" s="14"/>
      <c r="O94" s="14"/>
      <c r="P94" s="14"/>
      <c r="Q94" s="14"/>
      <c r="R94" s="14"/>
      <c r="S94" s="14"/>
      <c r="T94" s="14"/>
      <c r="U94" s="14"/>
      <c r="V94" s="14"/>
      <c r="W94" s="14"/>
      <c r="X94" s="14"/>
      <c r="Y94" s="14"/>
      <c r="Z94" s="14"/>
      <c r="AA94" s="14"/>
      <c r="AB94" s="14"/>
    </row>
    <row r="95" spans="1:28" hidden="1" x14ac:dyDescent="0.25">
      <c r="A95" s="66"/>
      <c r="B95" s="82" t="s">
        <v>130</v>
      </c>
      <c r="D95" s="90">
        <f>SUM(D128:D190)</f>
        <v>-5.0988988699650704E-2</v>
      </c>
      <c r="E95" s="82"/>
      <c r="F95" s="76"/>
      <c r="G95" s="14"/>
      <c r="H95" s="14"/>
      <c r="I95" s="14"/>
      <c r="J95" s="14"/>
      <c r="K95" s="14"/>
      <c r="L95" s="14"/>
      <c r="M95" s="14"/>
      <c r="N95" s="14"/>
      <c r="O95" s="14"/>
      <c r="P95" s="14"/>
      <c r="Q95" s="14"/>
      <c r="R95" s="14"/>
      <c r="S95" s="14"/>
      <c r="T95" s="14"/>
      <c r="U95" s="14"/>
      <c r="V95" s="14"/>
      <c r="W95" s="14"/>
      <c r="X95" s="14"/>
      <c r="Y95" s="14"/>
      <c r="Z95" s="14"/>
      <c r="AA95" s="14"/>
      <c r="AB95" s="14"/>
    </row>
    <row r="96" spans="1:28" hidden="1" x14ac:dyDescent="0.25">
      <c r="A96" s="66"/>
      <c r="B96" s="82" t="s">
        <v>131</v>
      </c>
      <c r="D96" s="90">
        <f>(D92+D95)*D91+D74</f>
        <v>3.2137210589571921</v>
      </c>
      <c r="E96" s="82"/>
      <c r="F96" s="76"/>
      <c r="G96" s="14"/>
      <c r="H96" s="14"/>
      <c r="I96" s="14"/>
      <c r="J96" s="14"/>
      <c r="K96" s="14"/>
      <c r="L96" s="14"/>
      <c r="M96" s="14"/>
      <c r="N96" s="14"/>
      <c r="O96" s="14"/>
      <c r="P96" s="14"/>
      <c r="Q96" s="14"/>
      <c r="R96" s="14"/>
      <c r="S96" s="14"/>
      <c r="T96" s="14"/>
      <c r="U96" s="14"/>
      <c r="V96" s="14"/>
      <c r="W96" s="14"/>
      <c r="X96" s="14"/>
      <c r="Y96" s="14"/>
      <c r="Z96" s="14"/>
      <c r="AA96" s="14"/>
      <c r="AB96" s="14"/>
    </row>
    <row r="97" spans="1:28" hidden="1" x14ac:dyDescent="0.25">
      <c r="A97" s="66"/>
      <c r="B97" s="91" t="s">
        <v>132</v>
      </c>
      <c r="D97" s="92">
        <f>D96*D73</f>
        <v>0.52653968703797327</v>
      </c>
      <c r="E97" s="82"/>
      <c r="F97" s="76"/>
      <c r="G97" s="14"/>
      <c r="H97" s="14"/>
      <c r="I97" s="14"/>
      <c r="J97" s="14"/>
      <c r="K97" s="14"/>
      <c r="L97" s="14"/>
      <c r="M97" s="14"/>
      <c r="N97" s="14"/>
      <c r="O97" s="14"/>
      <c r="P97" s="14"/>
      <c r="Q97" s="14"/>
      <c r="R97" s="14"/>
      <c r="S97" s="14"/>
      <c r="T97" s="14"/>
      <c r="U97" s="14"/>
      <c r="V97" s="14"/>
      <c r="W97" s="14"/>
      <c r="X97" s="14"/>
      <c r="Y97" s="14"/>
      <c r="Z97" s="14"/>
      <c r="AA97" s="14"/>
      <c r="AB97" s="14"/>
    </row>
    <row r="98" spans="1:28" hidden="1" x14ac:dyDescent="0.25">
      <c r="A98" s="66"/>
      <c r="B98" s="82"/>
      <c r="D98" s="90"/>
      <c r="E98" s="82"/>
      <c r="F98" s="76"/>
      <c r="G98" s="14"/>
      <c r="H98" s="14"/>
      <c r="I98" s="14"/>
      <c r="J98" s="14"/>
      <c r="K98" s="14"/>
      <c r="L98" s="14"/>
      <c r="M98" s="14"/>
      <c r="N98" s="14"/>
      <c r="O98" s="14"/>
      <c r="P98" s="14"/>
      <c r="Q98" s="14"/>
      <c r="R98" s="14"/>
      <c r="S98" s="14"/>
      <c r="T98" s="14"/>
      <c r="U98" s="14"/>
      <c r="V98" s="14"/>
      <c r="W98" s="14"/>
      <c r="X98" s="14"/>
      <c r="Y98" s="14"/>
      <c r="Z98" s="14"/>
      <c r="AA98" s="14"/>
      <c r="AB98" s="14"/>
    </row>
    <row r="99" spans="1:28" hidden="1" x14ac:dyDescent="0.25">
      <c r="A99" s="66"/>
      <c r="B99" s="82" t="s">
        <v>133</v>
      </c>
      <c r="D99" s="90">
        <f>IF(2&gt;D74,0,1/((0.184*ABS(SUM(D84:D84))^3-0.525*(SUM(D84:D84))^2+1.038*ABS(SUM(D84:D84))+1.001)))</f>
        <v>0.78504113304523604</v>
      </c>
      <c r="E99" s="82"/>
      <c r="F99" s="76"/>
      <c r="G99" s="14"/>
      <c r="H99" s="14"/>
      <c r="I99" s="14"/>
      <c r="J99" s="14"/>
      <c r="K99" s="14"/>
      <c r="L99" s="14"/>
      <c r="M99" s="14"/>
      <c r="N99" s="14"/>
      <c r="O99" s="14"/>
      <c r="P99" s="14"/>
      <c r="Q99" s="14"/>
      <c r="R99" s="14"/>
      <c r="S99" s="14"/>
      <c r="T99" s="14"/>
      <c r="U99" s="14"/>
      <c r="V99" s="14"/>
      <c r="W99" s="14"/>
      <c r="X99" s="14"/>
      <c r="Y99" s="14"/>
      <c r="Z99" s="14"/>
      <c r="AA99" s="14"/>
      <c r="AB99" s="14"/>
    </row>
    <row r="100" spans="1:28" hidden="1" x14ac:dyDescent="0.25">
      <c r="A100" s="66"/>
      <c r="B100" s="82" t="s">
        <v>134</v>
      </c>
      <c r="D100" s="90">
        <f>IF(3&gt;D74,0,1/((0.184*ABS(SUM(D84:D85))^3-0.525*(SUM(D84:D85))^2+1.038*ABS(SUM(D84:D85))+1.001)))</f>
        <v>0</v>
      </c>
      <c r="E100" s="82"/>
      <c r="F100" s="76"/>
      <c r="G100" s="14"/>
      <c r="H100" s="14"/>
      <c r="I100" s="14"/>
      <c r="J100" s="14"/>
      <c r="K100" s="14"/>
      <c r="L100" s="14"/>
      <c r="M100" s="14"/>
      <c r="N100" s="14"/>
      <c r="O100" s="14"/>
      <c r="P100" s="14"/>
      <c r="Q100" s="14"/>
      <c r="R100" s="14"/>
      <c r="S100" s="14"/>
      <c r="T100" s="14"/>
      <c r="U100" s="14"/>
      <c r="V100" s="14"/>
      <c r="W100" s="14"/>
      <c r="X100" s="14"/>
      <c r="Y100" s="14"/>
      <c r="Z100" s="14"/>
      <c r="AA100" s="14"/>
      <c r="AB100" s="14"/>
    </row>
    <row r="101" spans="1:28" hidden="1" x14ac:dyDescent="0.25">
      <c r="A101" s="66"/>
      <c r="B101" s="82" t="s">
        <v>135</v>
      </c>
      <c r="D101" s="90">
        <f>IF(4&gt;D74,0,1/((0.184*ABS(SUM(D84:D86))^3-0.525*(SUM(D84:D86))^2+1.038*ABS(SUM(D84:D86))+1.001)))</f>
        <v>0</v>
      </c>
      <c r="E101" s="82"/>
      <c r="F101" s="76"/>
      <c r="G101" s="14"/>
      <c r="H101" s="14"/>
      <c r="I101" s="14"/>
      <c r="J101" s="14"/>
      <c r="K101" s="14"/>
      <c r="L101" s="14"/>
      <c r="M101" s="14"/>
      <c r="N101" s="14"/>
      <c r="O101" s="14"/>
      <c r="P101" s="14"/>
      <c r="Q101" s="14"/>
      <c r="R101" s="14"/>
      <c r="S101" s="14"/>
      <c r="T101" s="14"/>
      <c r="U101" s="14"/>
      <c r="V101" s="14"/>
      <c r="W101" s="14"/>
      <c r="X101" s="14"/>
      <c r="Y101" s="14"/>
      <c r="Z101" s="14"/>
      <c r="AA101" s="14"/>
      <c r="AB101" s="14"/>
    </row>
    <row r="102" spans="1:28" hidden="1" x14ac:dyDescent="0.25">
      <c r="A102" s="66"/>
      <c r="B102" s="82" t="s">
        <v>136</v>
      </c>
      <c r="D102" s="90">
        <f>IF(5&gt;D74,0,1/((0.184*ABS(SUM(D84:D87))^3-0.525*(SUM(D84:D87))^2+1.038*ABS(SUM(D84:D87))+1.001)))</f>
        <v>0</v>
      </c>
      <c r="E102" s="82"/>
      <c r="F102" s="76"/>
      <c r="G102" s="14"/>
      <c r="H102" s="14"/>
      <c r="I102" s="14"/>
      <c r="J102" s="14"/>
      <c r="K102" s="14"/>
      <c r="L102" s="14"/>
      <c r="M102" s="14"/>
      <c r="N102" s="14"/>
      <c r="O102" s="14"/>
      <c r="P102" s="14"/>
      <c r="Q102" s="14"/>
      <c r="R102" s="14"/>
      <c r="S102" s="14"/>
      <c r="T102" s="14"/>
      <c r="U102" s="14"/>
      <c r="V102" s="14"/>
      <c r="W102" s="14"/>
      <c r="X102" s="14"/>
      <c r="Y102" s="14"/>
      <c r="Z102" s="14"/>
      <c r="AA102" s="14"/>
      <c r="AB102" s="14"/>
    </row>
    <row r="103" spans="1:28" hidden="1" x14ac:dyDescent="0.25">
      <c r="A103" s="66"/>
      <c r="B103" s="82" t="s">
        <v>137</v>
      </c>
      <c r="D103" s="90">
        <f>IF(6&gt;D74,0,1/((0.184*ABS(SUM(D84:D88))^3-0.525*(SUM(D84:D88))^2+1.038*ABS(SUM(D84:D88))+1.001)))</f>
        <v>0</v>
      </c>
      <c r="E103" s="82"/>
      <c r="F103" s="76"/>
      <c r="G103" s="14"/>
      <c r="H103" s="14"/>
      <c r="I103" s="14"/>
      <c r="J103" s="14"/>
      <c r="K103" s="14"/>
      <c r="L103" s="14"/>
      <c r="M103" s="14"/>
      <c r="N103" s="14"/>
      <c r="O103" s="14"/>
      <c r="P103" s="14"/>
      <c r="Q103" s="14"/>
      <c r="R103" s="14"/>
      <c r="S103" s="14"/>
      <c r="T103" s="14"/>
      <c r="U103" s="14"/>
      <c r="V103" s="14"/>
      <c r="W103" s="14"/>
      <c r="X103" s="14"/>
      <c r="Y103" s="14"/>
      <c r="Z103" s="14"/>
      <c r="AA103" s="14"/>
      <c r="AB103" s="14"/>
    </row>
    <row r="104" spans="1:28" hidden="1" x14ac:dyDescent="0.25">
      <c r="A104" s="66"/>
      <c r="B104" s="82" t="s">
        <v>138</v>
      </c>
      <c r="D104" s="90">
        <f>IF(7&gt;D74,0,1/((0.184*ABS(SUM(D84:D89))^3-0.525*(SUM(D84:D89))^2+1.038*ABS(SUM(D84:D89))+1.001)))</f>
        <v>0</v>
      </c>
      <c r="E104" s="82"/>
      <c r="F104" s="76"/>
      <c r="G104" s="14"/>
      <c r="H104" s="14"/>
      <c r="I104" s="14"/>
      <c r="J104" s="14"/>
      <c r="K104" s="14"/>
      <c r="L104" s="14"/>
      <c r="M104" s="14"/>
      <c r="N104" s="14"/>
      <c r="O104" s="14"/>
      <c r="P104" s="14"/>
      <c r="Q104" s="14"/>
      <c r="R104" s="14"/>
      <c r="S104" s="14"/>
      <c r="T104" s="14"/>
      <c r="U104" s="14"/>
      <c r="V104" s="14"/>
      <c r="W104" s="14"/>
      <c r="X104" s="14"/>
      <c r="Y104" s="14"/>
      <c r="Z104" s="14"/>
      <c r="AA104" s="14"/>
      <c r="AB104" s="14"/>
    </row>
    <row r="105" spans="1:28" hidden="1" x14ac:dyDescent="0.25">
      <c r="A105" s="66"/>
      <c r="B105" s="82" t="s">
        <v>139</v>
      </c>
      <c r="D105" s="90">
        <f>IF(8&gt;D74,0,1/((0.184*ABS(SUM(D84:D90))^3-0.525*(SUM(D84:D90))^2+1.038*ABS(SUM(D84:D90))+1.001)))</f>
        <v>0</v>
      </c>
      <c r="E105" s="82"/>
      <c r="F105" s="76"/>
      <c r="G105" s="14"/>
      <c r="H105" s="14"/>
      <c r="I105" s="14"/>
      <c r="J105" s="14"/>
      <c r="K105" s="14"/>
      <c r="L105" s="14"/>
      <c r="M105" s="14"/>
      <c r="N105" s="14"/>
      <c r="O105" s="14"/>
      <c r="P105" s="14"/>
      <c r="Q105" s="14"/>
      <c r="R105" s="14"/>
      <c r="S105" s="14"/>
      <c r="T105" s="14"/>
      <c r="U105" s="14"/>
      <c r="V105" s="14"/>
      <c r="W105" s="14"/>
      <c r="X105" s="14"/>
      <c r="Y105" s="14"/>
      <c r="Z105" s="14"/>
      <c r="AA105" s="14"/>
      <c r="AB105" s="14"/>
    </row>
    <row r="106" spans="1:28" hidden="1" x14ac:dyDescent="0.25">
      <c r="A106" s="66"/>
      <c r="B106" s="82" t="s">
        <v>140</v>
      </c>
      <c r="D106" s="90">
        <f>IF(3&gt;D74,0,1/((0.184*ABS(SUM(D85:D85))^3-0.525*(SUM(D85:D85))^2+1.038*ABS(SUM(D85:D85))+1.001)))</f>
        <v>0</v>
      </c>
      <c r="E106" s="82"/>
      <c r="F106" s="76"/>
      <c r="G106" s="14"/>
      <c r="H106" s="14"/>
      <c r="I106" s="14"/>
      <c r="J106" s="14"/>
      <c r="K106" s="14"/>
      <c r="L106" s="14"/>
      <c r="M106" s="14"/>
      <c r="N106" s="14"/>
      <c r="O106" s="14"/>
      <c r="P106" s="14"/>
      <c r="Q106" s="14"/>
      <c r="R106" s="14"/>
      <c r="S106" s="14"/>
      <c r="T106" s="14"/>
      <c r="U106" s="14"/>
      <c r="V106" s="14"/>
      <c r="W106" s="14"/>
      <c r="X106" s="14"/>
      <c r="Y106" s="14"/>
      <c r="Z106" s="14"/>
      <c r="AA106" s="14"/>
      <c r="AB106" s="14"/>
    </row>
    <row r="107" spans="1:28" hidden="1" x14ac:dyDescent="0.25">
      <c r="A107" s="66"/>
      <c r="B107" s="82" t="s">
        <v>141</v>
      </c>
      <c r="D107" s="90">
        <f>IF(4&gt;D74,0,1/((0.184*ABS(SUM(D85:D86))^3-0.525*(SUM(D85:D86))^2+1.038*ABS(SUM(D85:D86))+1.001)))</f>
        <v>0</v>
      </c>
      <c r="E107" s="82"/>
      <c r="F107" s="76"/>
      <c r="G107" s="14"/>
      <c r="H107" s="14"/>
      <c r="I107" s="14"/>
      <c r="J107" s="14"/>
      <c r="K107" s="14"/>
      <c r="L107" s="14"/>
      <c r="M107" s="14"/>
      <c r="N107" s="14"/>
      <c r="O107" s="14"/>
      <c r="P107" s="14"/>
      <c r="Q107" s="14"/>
      <c r="R107" s="14"/>
      <c r="S107" s="14"/>
      <c r="T107" s="14"/>
      <c r="U107" s="14"/>
      <c r="V107" s="14"/>
      <c r="W107" s="14"/>
      <c r="X107" s="14"/>
      <c r="Y107" s="14"/>
      <c r="Z107" s="14"/>
      <c r="AA107" s="14"/>
      <c r="AB107" s="14"/>
    </row>
    <row r="108" spans="1:28" hidden="1" x14ac:dyDescent="0.25">
      <c r="A108" s="66"/>
      <c r="B108" s="82" t="s">
        <v>142</v>
      </c>
      <c r="D108" s="90">
        <f>IF(5&gt;D74,0,1/((0.184*ABS(SUM(D85:D87))^3-0.525*(SUM(D85:D87))^2+1.038*ABS(SUM(D85:D87))+1.001)))</f>
        <v>0</v>
      </c>
      <c r="E108" s="82"/>
      <c r="F108" s="76"/>
      <c r="G108" s="14"/>
      <c r="H108" s="14"/>
      <c r="I108" s="14"/>
      <c r="J108" s="14"/>
      <c r="K108" s="14"/>
      <c r="L108" s="14"/>
      <c r="M108" s="14"/>
      <c r="N108" s="14"/>
      <c r="O108" s="14"/>
      <c r="P108" s="14"/>
      <c r="Q108" s="14"/>
      <c r="R108" s="14"/>
      <c r="S108" s="14"/>
      <c r="T108" s="14"/>
      <c r="U108" s="14"/>
      <c r="V108" s="14"/>
      <c r="W108" s="14"/>
      <c r="X108" s="14"/>
      <c r="Y108" s="14"/>
      <c r="Z108" s="14"/>
      <c r="AA108" s="14"/>
      <c r="AB108" s="14"/>
    </row>
    <row r="109" spans="1:28" hidden="1" x14ac:dyDescent="0.25">
      <c r="A109" s="66"/>
      <c r="B109" s="82" t="s">
        <v>143</v>
      </c>
      <c r="D109" s="90">
        <f>IF(6&gt;D74,0,1/((0.184*ABS(SUM(D85:D88))^3-0.525*(SUM(D85:D88))^2+1.038*ABS(SUM(D85:D88))+1.001)))</f>
        <v>0</v>
      </c>
      <c r="E109" s="82"/>
      <c r="F109" s="76"/>
      <c r="G109" s="14"/>
      <c r="H109" s="14"/>
      <c r="I109" s="14"/>
      <c r="J109" s="14"/>
      <c r="K109" s="14"/>
      <c r="L109" s="14"/>
      <c r="M109" s="14"/>
      <c r="N109" s="14"/>
      <c r="O109" s="14"/>
      <c r="P109" s="14"/>
      <c r="Q109" s="14"/>
      <c r="R109" s="14"/>
      <c r="S109" s="14"/>
      <c r="T109" s="14"/>
      <c r="U109" s="14"/>
      <c r="V109" s="14"/>
      <c r="W109" s="14"/>
      <c r="X109" s="14"/>
      <c r="Y109" s="14"/>
      <c r="Z109" s="14"/>
      <c r="AA109" s="14"/>
      <c r="AB109" s="14"/>
    </row>
    <row r="110" spans="1:28" hidden="1" x14ac:dyDescent="0.25">
      <c r="A110" s="66"/>
      <c r="B110" s="82" t="s">
        <v>144</v>
      </c>
      <c r="D110" s="90">
        <f>IF(7&gt;D74,0,1/((0.184*ABS(SUM(D85:D89))^3-0.525*(SUM(D85:D89))^2+1.038*ABS(SUM(D85:D89))+1.001)))</f>
        <v>0</v>
      </c>
      <c r="E110" s="82"/>
      <c r="F110" s="76"/>
      <c r="G110" s="14"/>
      <c r="H110" s="14"/>
      <c r="I110" s="14"/>
      <c r="J110" s="14"/>
      <c r="K110" s="14"/>
      <c r="L110" s="14"/>
      <c r="M110" s="14"/>
      <c r="N110" s="14"/>
      <c r="O110" s="14"/>
      <c r="P110" s="14"/>
      <c r="Q110" s="14"/>
      <c r="R110" s="14"/>
      <c r="S110" s="14"/>
      <c r="T110" s="14"/>
      <c r="U110" s="14"/>
      <c r="V110" s="14"/>
      <c r="W110" s="14"/>
      <c r="X110" s="14"/>
      <c r="Y110" s="14"/>
      <c r="Z110" s="14"/>
      <c r="AA110" s="14"/>
      <c r="AB110" s="14"/>
    </row>
    <row r="111" spans="1:28" hidden="1" x14ac:dyDescent="0.25">
      <c r="A111" s="66"/>
      <c r="B111" s="82" t="s">
        <v>145</v>
      </c>
      <c r="D111" s="90">
        <f>IF(8&gt;D74,0,1/((0.184*ABS(SUM(D85:D90))^3-0.525*(SUM(D85:D90))^2+1.038*ABS(SUM(D85:D90))+1.001)))</f>
        <v>0</v>
      </c>
      <c r="E111" s="82"/>
      <c r="F111" s="76"/>
      <c r="G111" s="14"/>
      <c r="H111" s="14"/>
      <c r="I111" s="14"/>
      <c r="J111" s="14"/>
      <c r="K111" s="14"/>
      <c r="L111" s="14"/>
      <c r="M111" s="14"/>
      <c r="N111" s="14"/>
      <c r="O111" s="14"/>
      <c r="P111" s="14"/>
      <c r="Q111" s="14"/>
      <c r="R111" s="14"/>
      <c r="S111" s="14"/>
      <c r="T111" s="14"/>
      <c r="U111" s="14"/>
      <c r="V111" s="14"/>
      <c r="W111" s="14"/>
      <c r="X111" s="14"/>
      <c r="Y111" s="14"/>
      <c r="Z111" s="14"/>
      <c r="AA111" s="14"/>
      <c r="AB111" s="14"/>
    </row>
    <row r="112" spans="1:28" hidden="1" x14ac:dyDescent="0.25">
      <c r="A112" s="66"/>
      <c r="B112" s="82" t="s">
        <v>146</v>
      </c>
      <c r="D112" s="90">
        <f>IF(4&gt;D74,0,1/((0.184*ABS(SUM(D86:D86))^3-0.525*(SUM(D86:D86))^2+1.038*ABS(SUM(D86:D86))+1.001)))</f>
        <v>0</v>
      </c>
      <c r="E112" s="82"/>
      <c r="F112" s="76"/>
      <c r="G112" s="14"/>
      <c r="H112" s="14"/>
      <c r="I112" s="14"/>
      <c r="J112" s="14"/>
      <c r="K112" s="14"/>
      <c r="L112" s="14"/>
      <c r="M112" s="14"/>
      <c r="N112" s="14"/>
      <c r="O112" s="14"/>
      <c r="P112" s="14"/>
      <c r="Q112" s="14"/>
      <c r="R112" s="14"/>
      <c r="S112" s="14"/>
      <c r="T112" s="14"/>
      <c r="U112" s="14"/>
      <c r="V112" s="14"/>
      <c r="W112" s="14"/>
      <c r="X112" s="14"/>
      <c r="Y112" s="14"/>
      <c r="Z112" s="14"/>
      <c r="AA112" s="14"/>
      <c r="AB112" s="14"/>
    </row>
    <row r="113" spans="1:28" hidden="1" x14ac:dyDescent="0.25">
      <c r="A113" s="66"/>
      <c r="B113" s="82" t="s">
        <v>147</v>
      </c>
      <c r="D113" s="90">
        <f>IF(5&gt;D74,0,1/((0.184*ABS(SUM(D86:D87))^3-0.525*(SUM(D86:D87))^2+1.038*ABS(SUM(D86:D87))+1.001)))</f>
        <v>0</v>
      </c>
      <c r="E113" s="82"/>
      <c r="F113" s="76"/>
      <c r="G113" s="14"/>
      <c r="H113" s="14"/>
      <c r="I113" s="14"/>
      <c r="J113" s="14"/>
      <c r="K113" s="14"/>
      <c r="L113" s="14"/>
      <c r="M113" s="14"/>
      <c r="N113" s="14"/>
      <c r="O113" s="14"/>
      <c r="P113" s="14"/>
      <c r="Q113" s="14"/>
      <c r="R113" s="14"/>
      <c r="S113" s="14"/>
      <c r="T113" s="14"/>
      <c r="U113" s="14"/>
      <c r="V113" s="14"/>
      <c r="W113" s="14"/>
      <c r="X113" s="14"/>
      <c r="Y113" s="14"/>
      <c r="Z113" s="14"/>
      <c r="AA113" s="14"/>
      <c r="AB113" s="14"/>
    </row>
    <row r="114" spans="1:28" hidden="1" x14ac:dyDescent="0.25">
      <c r="A114" s="66"/>
      <c r="B114" s="82" t="s">
        <v>148</v>
      </c>
      <c r="D114" s="90">
        <f>IF(6&gt;D74,0,1/((0.184*ABS(SUM(D86:D88))^3-0.525*(SUM(D86:D88))^2+1.038*ABS(SUM(D86:D88))+1.001)))</f>
        <v>0</v>
      </c>
      <c r="E114" s="82"/>
      <c r="F114" s="76"/>
      <c r="G114" s="14"/>
      <c r="H114" s="14"/>
      <c r="I114" s="14"/>
      <c r="J114" s="14"/>
      <c r="K114" s="14"/>
      <c r="L114" s="14"/>
      <c r="M114" s="14"/>
      <c r="N114" s="14"/>
      <c r="O114" s="14"/>
      <c r="P114" s="14"/>
      <c r="Q114" s="14"/>
      <c r="R114" s="14"/>
      <c r="S114" s="14"/>
      <c r="T114" s="14"/>
      <c r="U114" s="14"/>
      <c r="V114" s="14"/>
      <c r="W114" s="14"/>
      <c r="X114" s="14"/>
      <c r="Y114" s="14"/>
      <c r="Z114" s="14"/>
      <c r="AA114" s="14"/>
      <c r="AB114" s="14"/>
    </row>
    <row r="115" spans="1:28" hidden="1" x14ac:dyDescent="0.25">
      <c r="A115" s="66"/>
      <c r="B115" s="82" t="s">
        <v>149</v>
      </c>
      <c r="D115" s="90">
        <f>IF(7&gt;D74,0,1/((0.184*ABS(SUM(D86:D89))^3-0.525*(SUM(D86:D89))^2+1.038*ABS(SUM(D86:D89))+1.001)))</f>
        <v>0</v>
      </c>
      <c r="E115" s="82"/>
      <c r="F115" s="76"/>
      <c r="G115" s="14"/>
      <c r="H115" s="14"/>
      <c r="I115" s="14"/>
      <c r="J115" s="14"/>
      <c r="K115" s="14"/>
      <c r="L115" s="14"/>
      <c r="M115" s="14"/>
      <c r="N115" s="14"/>
      <c r="O115" s="14"/>
      <c r="P115" s="14"/>
      <c r="Q115" s="14"/>
      <c r="R115" s="14"/>
      <c r="S115" s="14"/>
      <c r="T115" s="14"/>
      <c r="U115" s="14"/>
      <c r="V115" s="14"/>
      <c r="W115" s="14"/>
      <c r="X115" s="14"/>
      <c r="Y115" s="14"/>
      <c r="Z115" s="14"/>
      <c r="AA115" s="14"/>
      <c r="AB115" s="14"/>
    </row>
    <row r="116" spans="1:28" hidden="1" x14ac:dyDescent="0.25">
      <c r="A116" s="66"/>
      <c r="B116" s="82" t="s">
        <v>150</v>
      </c>
      <c r="D116" s="90">
        <f>IF(8&gt;D74,0,1/((0.184*ABS(SUM(D86:D90))^3-0.525*(SUM(D86:D90))^2+1.038*ABS(SUM(D86:D90))+1.001)))</f>
        <v>0</v>
      </c>
      <c r="E116" s="82"/>
      <c r="F116" s="76"/>
      <c r="G116" s="14"/>
      <c r="H116" s="14"/>
      <c r="I116" s="14"/>
      <c r="J116" s="14"/>
      <c r="K116" s="14"/>
      <c r="L116" s="14"/>
      <c r="M116" s="14"/>
      <c r="N116" s="14"/>
      <c r="O116" s="14"/>
      <c r="P116" s="14"/>
      <c r="Q116" s="14"/>
      <c r="R116" s="14"/>
      <c r="S116" s="14"/>
      <c r="T116" s="14"/>
      <c r="U116" s="14"/>
      <c r="V116" s="14"/>
      <c r="W116" s="14"/>
      <c r="X116" s="14"/>
      <c r="Y116" s="14"/>
      <c r="Z116" s="14"/>
      <c r="AA116" s="14"/>
      <c r="AB116" s="14"/>
    </row>
    <row r="117" spans="1:28" hidden="1" x14ac:dyDescent="0.25">
      <c r="A117" s="66"/>
      <c r="B117" s="82" t="s">
        <v>151</v>
      </c>
      <c r="D117" s="90">
        <f>IF(5&gt;D74,0,1/((0.184*ABS(SUM(D87:D87))^3-0.525*(SUM(D87:D87))^2+1.038*ABS(SUM(D87:D87))+1.001)))</f>
        <v>0</v>
      </c>
      <c r="E117" s="82"/>
      <c r="F117" s="76"/>
      <c r="G117" s="14"/>
      <c r="H117" s="14"/>
      <c r="I117" s="14"/>
      <c r="J117" s="14"/>
      <c r="K117" s="14"/>
      <c r="L117" s="14"/>
      <c r="M117" s="14"/>
      <c r="N117" s="14"/>
      <c r="O117" s="14"/>
      <c r="P117" s="14"/>
      <c r="Q117" s="14"/>
      <c r="R117" s="14"/>
      <c r="S117" s="14"/>
      <c r="T117" s="14"/>
      <c r="U117" s="14"/>
      <c r="V117" s="14"/>
      <c r="W117" s="14"/>
      <c r="X117" s="14"/>
      <c r="Y117" s="14"/>
      <c r="Z117" s="14"/>
      <c r="AA117" s="14"/>
      <c r="AB117" s="14"/>
    </row>
    <row r="118" spans="1:28" hidden="1" x14ac:dyDescent="0.25">
      <c r="A118" s="66"/>
      <c r="B118" s="82" t="s">
        <v>152</v>
      </c>
      <c r="D118" s="90">
        <f>IF(6&gt;D74,0,1/((0.184*ABS(SUM(D87:D88))^3-0.525*(SUM(D87:D88))^2+1.038*ABS(SUM(D87:D88))+1.001)))</f>
        <v>0</v>
      </c>
      <c r="E118" s="82"/>
      <c r="F118" s="76"/>
      <c r="G118" s="14"/>
      <c r="H118" s="14"/>
      <c r="I118" s="14"/>
      <c r="J118" s="14"/>
      <c r="K118" s="14"/>
      <c r="L118" s="14"/>
      <c r="M118" s="14"/>
      <c r="N118" s="14"/>
      <c r="O118" s="14"/>
      <c r="P118" s="14"/>
      <c r="Q118" s="14"/>
      <c r="R118" s="14"/>
      <c r="S118" s="14"/>
      <c r="T118" s="14"/>
      <c r="U118" s="14"/>
      <c r="V118" s="14"/>
      <c r="W118" s="14"/>
      <c r="X118" s="14"/>
      <c r="Y118" s="14"/>
      <c r="Z118" s="14"/>
      <c r="AA118" s="14"/>
      <c r="AB118" s="14"/>
    </row>
    <row r="119" spans="1:28" hidden="1" x14ac:dyDescent="0.25">
      <c r="A119" s="66"/>
      <c r="B119" s="82" t="s">
        <v>153</v>
      </c>
      <c r="D119" s="90">
        <f>IF(7&gt;D74,0,1/((0.184*ABS(SUM(D87:D89))^3-0.525*(SUM(D87:D89))^2+1.038*ABS(SUM(D87:D89))+1.001)))</f>
        <v>0</v>
      </c>
      <c r="E119" s="82"/>
      <c r="F119" s="76"/>
      <c r="G119" s="14"/>
      <c r="H119" s="14"/>
      <c r="I119" s="14"/>
      <c r="J119" s="14"/>
      <c r="K119" s="14"/>
      <c r="L119" s="14"/>
      <c r="M119" s="14"/>
      <c r="N119" s="14"/>
      <c r="O119" s="14"/>
      <c r="P119" s="14"/>
      <c r="Q119" s="14"/>
      <c r="R119" s="14"/>
      <c r="S119" s="14"/>
      <c r="T119" s="14"/>
      <c r="U119" s="14"/>
      <c r="V119" s="14"/>
      <c r="W119" s="14"/>
      <c r="X119" s="14"/>
      <c r="Y119" s="14"/>
      <c r="Z119" s="14"/>
      <c r="AA119" s="14"/>
      <c r="AB119" s="14"/>
    </row>
    <row r="120" spans="1:28" hidden="1" x14ac:dyDescent="0.25">
      <c r="A120" s="66"/>
      <c r="B120" s="82" t="s">
        <v>154</v>
      </c>
      <c r="D120" s="90">
        <f>IF(8&gt;D74,0,1/((0.184*ABS(SUM(D87:D90))^3-0.525*(SUM(D87:D90))^2+1.038*ABS(SUM(D87:D90))+1.001)))</f>
        <v>0</v>
      </c>
      <c r="E120" s="82"/>
      <c r="F120" s="76"/>
      <c r="G120" s="14"/>
      <c r="H120" s="14"/>
      <c r="I120" s="14"/>
      <c r="J120" s="14"/>
      <c r="K120" s="14"/>
      <c r="L120" s="14"/>
      <c r="M120" s="14"/>
      <c r="N120" s="14"/>
      <c r="O120" s="14"/>
      <c r="P120" s="14"/>
      <c r="Q120" s="14"/>
      <c r="R120" s="14"/>
      <c r="S120" s="14"/>
      <c r="T120" s="14"/>
      <c r="U120" s="14"/>
      <c r="V120" s="14"/>
      <c r="W120" s="14"/>
      <c r="X120" s="14"/>
      <c r="Y120" s="14"/>
      <c r="Z120" s="14"/>
      <c r="AA120" s="14"/>
      <c r="AB120" s="14"/>
    </row>
    <row r="121" spans="1:28" hidden="1" x14ac:dyDescent="0.25">
      <c r="A121" s="66"/>
      <c r="B121" s="82" t="s">
        <v>155</v>
      </c>
      <c r="D121" s="90">
        <f>IF(6&gt;D74,0,1/((0.184*ABS(SUM(D88:D88))^3-0.525*(SUM(D88:D88))^2+1.038*ABS(SUM(D88:D88))+1.001)))</f>
        <v>0</v>
      </c>
      <c r="E121" s="82"/>
      <c r="F121" s="76"/>
      <c r="G121" s="14"/>
      <c r="H121" s="14"/>
      <c r="I121" s="14"/>
      <c r="J121" s="14"/>
      <c r="K121" s="14"/>
      <c r="L121" s="14"/>
      <c r="M121" s="14"/>
      <c r="N121" s="14"/>
      <c r="O121" s="14"/>
      <c r="P121" s="14"/>
      <c r="Q121" s="14"/>
      <c r="R121" s="14"/>
      <c r="S121" s="14"/>
      <c r="T121" s="14"/>
      <c r="U121" s="14"/>
      <c r="V121" s="14"/>
      <c r="W121" s="14"/>
      <c r="X121" s="14"/>
      <c r="Y121" s="14"/>
      <c r="Z121" s="14"/>
      <c r="AA121" s="14"/>
      <c r="AB121" s="14"/>
    </row>
    <row r="122" spans="1:28" hidden="1" x14ac:dyDescent="0.25">
      <c r="A122" s="66"/>
      <c r="B122" s="82" t="s">
        <v>156</v>
      </c>
      <c r="D122" s="90">
        <f>IF(7&gt;D74,0,1/((0.184*ABS(SUM(D88:D89))^3-0.525*(SUM(D88:D89))^2+1.038*ABS(SUM(D88:D89))+1.001)))</f>
        <v>0</v>
      </c>
      <c r="E122" s="82"/>
      <c r="F122" s="76"/>
      <c r="G122" s="14"/>
      <c r="H122" s="14"/>
      <c r="I122" s="14"/>
      <c r="J122" s="14"/>
      <c r="K122" s="14"/>
      <c r="L122" s="14"/>
      <c r="M122" s="14"/>
      <c r="N122" s="14"/>
      <c r="O122" s="14"/>
      <c r="P122" s="14"/>
      <c r="Q122" s="14"/>
      <c r="R122" s="14"/>
      <c r="S122" s="14"/>
      <c r="T122" s="14"/>
      <c r="U122" s="14"/>
      <c r="V122" s="14"/>
      <c r="W122" s="14"/>
      <c r="X122" s="14"/>
      <c r="Y122" s="14"/>
      <c r="Z122" s="14"/>
      <c r="AA122" s="14"/>
      <c r="AB122" s="14"/>
    </row>
    <row r="123" spans="1:28" hidden="1" x14ac:dyDescent="0.25">
      <c r="A123" s="66"/>
      <c r="B123" s="82" t="s">
        <v>157</v>
      </c>
      <c r="D123" s="90">
        <f>IF(8&gt;D74,0,1/((0.184*ABS(SUM(D88:D90))^3-0.525*(SUM(D88:D90))^2+1.038*ABS(SUM(D88:D90))+1.001)))</f>
        <v>0</v>
      </c>
      <c r="E123" s="82"/>
      <c r="F123" s="76"/>
      <c r="G123" s="14"/>
      <c r="H123" s="14"/>
      <c r="I123" s="14"/>
      <c r="J123" s="14"/>
      <c r="K123" s="14"/>
      <c r="L123" s="14"/>
      <c r="M123" s="14"/>
      <c r="N123" s="14"/>
      <c r="O123" s="14"/>
      <c r="P123" s="14"/>
      <c r="Q123" s="14"/>
      <c r="R123" s="14"/>
      <c r="S123" s="14"/>
      <c r="T123" s="14"/>
      <c r="U123" s="14"/>
      <c r="V123" s="14"/>
      <c r="W123" s="14"/>
      <c r="X123" s="14"/>
      <c r="Y123" s="14"/>
      <c r="Z123" s="14"/>
      <c r="AA123" s="14"/>
      <c r="AB123" s="14"/>
    </row>
    <row r="124" spans="1:28" hidden="1" x14ac:dyDescent="0.25">
      <c r="A124" s="66"/>
      <c r="B124" s="82" t="s">
        <v>158</v>
      </c>
      <c r="D124" s="90">
        <f>IF(7&gt;D74,0,1/((0.184*ABS(SUM(D89:D89))^3-0.525*(SUM(D89:D89))^2+1.038*ABS(SUM(D89:D89))+1.001)))</f>
        <v>0</v>
      </c>
      <c r="E124" s="82"/>
      <c r="F124" s="76"/>
      <c r="G124" s="14"/>
      <c r="H124" s="14"/>
      <c r="I124" s="14"/>
      <c r="J124" s="14"/>
      <c r="K124" s="14"/>
      <c r="L124" s="14"/>
      <c r="M124" s="14"/>
      <c r="N124" s="14"/>
      <c r="O124" s="14"/>
      <c r="P124" s="14"/>
      <c r="Q124" s="14"/>
      <c r="R124" s="14"/>
      <c r="S124" s="14"/>
      <c r="T124" s="14"/>
      <c r="U124" s="14"/>
      <c r="V124" s="14"/>
      <c r="W124" s="14"/>
      <c r="X124" s="14"/>
      <c r="Y124" s="14"/>
      <c r="Z124" s="14"/>
      <c r="AA124" s="14"/>
      <c r="AB124" s="14"/>
    </row>
    <row r="125" spans="1:28" hidden="1" x14ac:dyDescent="0.25">
      <c r="A125" s="66"/>
      <c r="B125" s="82" t="s">
        <v>159</v>
      </c>
      <c r="D125" s="90">
        <f>IF(8&gt;D74,0,1/((0.184*ABS(SUM(D89:D90))^3-0.525*(SUM(D89:D90))^2+1.038*ABS(SUM(D89:D90))+1.001)))</f>
        <v>0</v>
      </c>
      <c r="E125" s="82"/>
      <c r="F125" s="76"/>
      <c r="G125" s="14"/>
      <c r="H125" s="14"/>
      <c r="I125" s="14"/>
      <c r="J125" s="14"/>
      <c r="K125" s="14"/>
      <c r="L125" s="14"/>
      <c r="M125" s="14"/>
      <c r="N125" s="14"/>
      <c r="O125" s="14"/>
      <c r="P125" s="14"/>
      <c r="Q125" s="14"/>
      <c r="R125" s="14"/>
      <c r="S125" s="14"/>
      <c r="T125" s="14"/>
      <c r="U125" s="14"/>
      <c r="V125" s="14"/>
      <c r="W125" s="14"/>
      <c r="X125" s="14"/>
      <c r="Y125" s="14"/>
      <c r="Z125" s="14"/>
      <c r="AA125" s="14"/>
      <c r="AB125" s="14"/>
    </row>
    <row r="126" spans="1:28" hidden="1" x14ac:dyDescent="0.25">
      <c r="A126" s="66"/>
      <c r="B126" s="82" t="s">
        <v>160</v>
      </c>
      <c r="D126" s="90">
        <f>IF(8&gt;D74,0,1/((0.184*ABS(SUM(D90:D90))^3-0.525*(SUM(D90:D90))^2+1.038*ABS(SUM(D90:D90))+1.001)))</f>
        <v>0</v>
      </c>
      <c r="E126" s="82"/>
      <c r="F126" s="76"/>
      <c r="G126" s="14"/>
      <c r="H126" s="14"/>
      <c r="I126" s="14"/>
      <c r="J126" s="14"/>
      <c r="K126" s="14"/>
      <c r="L126" s="14"/>
      <c r="M126" s="14"/>
      <c r="N126" s="14"/>
      <c r="O126" s="14"/>
      <c r="P126" s="14"/>
      <c r="Q126" s="14"/>
      <c r="R126" s="14"/>
      <c r="S126" s="14"/>
      <c r="T126" s="14"/>
      <c r="U126" s="14"/>
      <c r="V126" s="14"/>
      <c r="W126" s="14"/>
      <c r="X126" s="14"/>
      <c r="Y126" s="14"/>
      <c r="Z126" s="14"/>
      <c r="AA126" s="14"/>
      <c r="AB126" s="14"/>
    </row>
    <row r="127" spans="1:28" hidden="1" x14ac:dyDescent="0.25">
      <c r="A127" s="66"/>
      <c r="B127" s="82"/>
      <c r="D127" s="90"/>
      <c r="E127" s="82"/>
      <c r="F127" s="76"/>
      <c r="G127" s="14"/>
      <c r="H127" s="14"/>
      <c r="I127" s="14"/>
      <c r="J127" s="14"/>
      <c r="K127" s="14"/>
      <c r="L127" s="14"/>
      <c r="M127" s="14"/>
      <c r="N127" s="14"/>
      <c r="O127" s="14"/>
      <c r="P127" s="14"/>
      <c r="Q127" s="14"/>
      <c r="R127" s="14"/>
      <c r="S127" s="14"/>
      <c r="T127" s="14"/>
      <c r="U127" s="14"/>
      <c r="V127" s="14"/>
      <c r="W127" s="14"/>
      <c r="X127" s="14"/>
      <c r="Y127" s="14"/>
      <c r="Z127" s="14"/>
      <c r="AA127" s="14"/>
      <c r="AB127" s="14"/>
    </row>
    <row r="128" spans="1:28" hidden="1" x14ac:dyDescent="0.25">
      <c r="A128" s="66"/>
      <c r="B128" s="82" t="s">
        <v>161</v>
      </c>
      <c r="D128" s="90">
        <f>IF(1&gt;D74,0,-1/((0.184*ABS(SUM(D83:D83))^3-0.525*(SUM(D83:D83))^2+1.038*ABS(SUM(D83:D83))+1.001)))</f>
        <v>-1.4303491482270824E-2</v>
      </c>
      <c r="E128" s="82"/>
      <c r="F128" s="76"/>
      <c r="G128" s="14"/>
      <c r="H128" s="14"/>
      <c r="I128" s="14"/>
      <c r="J128" s="14"/>
      <c r="K128" s="14"/>
      <c r="L128" s="14"/>
      <c r="M128" s="14"/>
      <c r="N128" s="14"/>
      <c r="O128" s="14"/>
      <c r="P128" s="14"/>
      <c r="Q128" s="14"/>
      <c r="R128" s="14"/>
      <c r="S128" s="14"/>
      <c r="T128" s="14"/>
      <c r="U128" s="14"/>
      <c r="V128" s="14"/>
      <c r="W128" s="14"/>
      <c r="X128" s="14"/>
      <c r="Y128" s="14"/>
      <c r="Z128" s="14"/>
      <c r="AA128" s="14"/>
      <c r="AB128" s="14"/>
    </row>
    <row r="129" spans="1:28" hidden="1" x14ac:dyDescent="0.25">
      <c r="A129" s="66"/>
      <c r="B129" s="82" t="s">
        <v>162</v>
      </c>
      <c r="D129" s="90">
        <f>IF(2&gt;D74,0,-1/((0.184*ABS(SUM(D83:D84))^3-0.525*(SUM(D83:D84))^2+1.038*ABS(SUM(D83:D84))+1.001)))</f>
        <v>-1.268975420463137E-2</v>
      </c>
      <c r="E129" s="82"/>
      <c r="F129" s="76"/>
      <c r="G129" s="14"/>
      <c r="H129" s="14"/>
      <c r="I129" s="14"/>
      <c r="J129" s="14"/>
      <c r="K129" s="14"/>
      <c r="L129" s="14"/>
      <c r="M129" s="14"/>
      <c r="N129" s="14"/>
      <c r="O129" s="14"/>
      <c r="P129" s="14"/>
      <c r="Q129" s="14"/>
      <c r="R129" s="14"/>
      <c r="S129" s="14"/>
      <c r="T129" s="14"/>
      <c r="U129" s="14"/>
      <c r="V129" s="14"/>
      <c r="W129" s="14"/>
      <c r="X129" s="14"/>
      <c r="Y129" s="14"/>
      <c r="Z129" s="14"/>
      <c r="AA129" s="14"/>
      <c r="AB129" s="14"/>
    </row>
    <row r="130" spans="1:28" hidden="1" x14ac:dyDescent="0.25">
      <c r="A130" s="66"/>
      <c r="B130" s="82" t="s">
        <v>163</v>
      </c>
      <c r="D130" s="90">
        <f>IF(3&gt;D74,0,-1/((0.184*ABS(SUM(D83:D85))^3-0.525*(SUM(D83:D85))^2+1.038*ABS(SUM(D83:D85))+1.001)))</f>
        <v>0</v>
      </c>
      <c r="E130" s="82"/>
      <c r="F130" s="76"/>
      <c r="G130" s="14"/>
      <c r="H130" s="14"/>
      <c r="I130" s="14"/>
      <c r="J130" s="14"/>
      <c r="K130" s="14"/>
      <c r="L130" s="14"/>
      <c r="M130" s="14"/>
      <c r="N130" s="14"/>
      <c r="O130" s="14"/>
      <c r="P130" s="14"/>
      <c r="Q130" s="14"/>
      <c r="R130" s="14"/>
      <c r="S130" s="14"/>
      <c r="T130" s="14"/>
      <c r="U130" s="14"/>
      <c r="V130" s="14"/>
      <c r="W130" s="14"/>
      <c r="X130" s="14"/>
      <c r="Y130" s="14"/>
      <c r="Z130" s="14"/>
      <c r="AA130" s="14"/>
      <c r="AB130" s="14"/>
    </row>
    <row r="131" spans="1:28" hidden="1" x14ac:dyDescent="0.25">
      <c r="A131" s="66"/>
      <c r="B131" s="82" t="s">
        <v>164</v>
      </c>
      <c r="D131" s="90">
        <f>IF(4&gt;D74,0,-1/((0.184*ABS(SUM(D83:D86))^3-0.525*(SUM(D83:D86))^2+1.038*ABS(SUM(D83:D86))+1.001)))</f>
        <v>0</v>
      </c>
      <c r="E131" s="82"/>
      <c r="F131" s="76"/>
      <c r="G131" s="14"/>
      <c r="H131" s="14"/>
      <c r="I131" s="14"/>
      <c r="J131" s="14"/>
      <c r="K131" s="14"/>
      <c r="L131" s="14"/>
      <c r="M131" s="14"/>
      <c r="N131" s="14"/>
      <c r="O131" s="14"/>
      <c r="P131" s="14"/>
      <c r="Q131" s="14"/>
      <c r="R131" s="14"/>
      <c r="S131" s="14"/>
      <c r="T131" s="14"/>
      <c r="U131" s="14"/>
      <c r="V131" s="14"/>
      <c r="W131" s="14"/>
      <c r="X131" s="14"/>
      <c r="Y131" s="14"/>
      <c r="Z131" s="14"/>
      <c r="AA131" s="14"/>
      <c r="AB131" s="14"/>
    </row>
    <row r="132" spans="1:28" hidden="1" x14ac:dyDescent="0.25">
      <c r="A132" s="66"/>
      <c r="B132" s="82" t="s">
        <v>165</v>
      </c>
      <c r="D132" s="90">
        <f>IF(5&gt;D74,0,-1/((0.184*ABS(SUM(D83:D87))^3-0.525*(SUM(D83:D87))^2+1.038*ABS(SUM(D83:D87))+1.001)))</f>
        <v>0</v>
      </c>
      <c r="E132" s="82"/>
      <c r="F132" s="76"/>
      <c r="G132" s="14"/>
      <c r="H132" s="14"/>
      <c r="I132" s="14"/>
      <c r="J132" s="14"/>
      <c r="K132" s="14"/>
      <c r="L132" s="14"/>
      <c r="M132" s="14"/>
      <c r="N132" s="14"/>
      <c r="O132" s="14"/>
      <c r="P132" s="14"/>
      <c r="Q132" s="14"/>
      <c r="R132" s="14"/>
      <c r="S132" s="14"/>
      <c r="T132" s="14"/>
      <c r="U132" s="14"/>
      <c r="V132" s="14"/>
      <c r="W132" s="14"/>
      <c r="X132" s="14"/>
      <c r="Y132" s="14"/>
      <c r="Z132" s="14"/>
      <c r="AA132" s="14"/>
      <c r="AB132" s="14"/>
    </row>
    <row r="133" spans="1:28" hidden="1" x14ac:dyDescent="0.25">
      <c r="A133" s="66"/>
      <c r="B133" s="82" t="s">
        <v>166</v>
      </c>
      <c r="D133" s="90">
        <f>IF(6&gt;D74,0,-1/((0.184*ABS(SUM(D83:D88))^3-0.525*(SUM(D83:D88))^2+1.038*ABS(SUM(D83:D88))+1.001)))</f>
        <v>0</v>
      </c>
      <c r="E133" s="82"/>
      <c r="F133" s="76"/>
      <c r="G133" s="14"/>
      <c r="H133" s="14"/>
      <c r="I133" s="14"/>
      <c r="J133" s="14"/>
      <c r="K133" s="14"/>
      <c r="L133" s="14"/>
      <c r="M133" s="14"/>
      <c r="N133" s="14"/>
      <c r="O133" s="14"/>
      <c r="P133" s="14"/>
      <c r="Q133" s="14"/>
      <c r="R133" s="14"/>
      <c r="S133" s="14"/>
      <c r="T133" s="14"/>
      <c r="U133" s="14"/>
      <c r="V133" s="14"/>
      <c r="W133" s="14"/>
      <c r="X133" s="14"/>
      <c r="Y133" s="14"/>
      <c r="Z133" s="14"/>
      <c r="AA133" s="14"/>
      <c r="AB133" s="14"/>
    </row>
    <row r="134" spans="1:28" hidden="1" x14ac:dyDescent="0.25">
      <c r="A134" s="66"/>
      <c r="B134" s="82" t="s">
        <v>167</v>
      </c>
      <c r="D134" s="90">
        <f>IF(7&gt;D74,0,-1/((0.184*ABS(SUM(D83:D89))^3-0.525*(SUM(D83:D89))^2+1.038*ABS(SUM(D83:D89))+1.001)))</f>
        <v>0</v>
      </c>
      <c r="E134" s="82"/>
      <c r="F134" s="76"/>
      <c r="G134" s="14"/>
      <c r="H134" s="14"/>
      <c r="I134" s="14"/>
      <c r="J134" s="14"/>
      <c r="K134" s="14"/>
      <c r="L134" s="14"/>
      <c r="M134" s="14"/>
      <c r="N134" s="14"/>
      <c r="O134" s="14"/>
      <c r="P134" s="14"/>
      <c r="Q134" s="14"/>
      <c r="R134" s="14"/>
      <c r="S134" s="14"/>
      <c r="T134" s="14"/>
      <c r="U134" s="14"/>
      <c r="V134" s="14"/>
      <c r="W134" s="14"/>
      <c r="X134" s="14"/>
      <c r="Y134" s="14"/>
      <c r="Z134" s="14"/>
      <c r="AA134" s="14"/>
      <c r="AB134" s="14"/>
    </row>
    <row r="135" spans="1:28" hidden="1" x14ac:dyDescent="0.25">
      <c r="A135" s="66"/>
      <c r="B135" s="82" t="s">
        <v>168</v>
      </c>
      <c r="D135" s="90">
        <f>IF(8&gt;D74,0,-1/((0.184*ABS(SUM(D83:D90))^3-0.525*(SUM(D83:D90))^2+1.038*ABS(SUM(D83:D90))+1.001)))</f>
        <v>0</v>
      </c>
      <c r="E135" s="82"/>
      <c r="F135" s="76"/>
      <c r="G135" s="14"/>
      <c r="H135" s="14"/>
      <c r="I135" s="14"/>
      <c r="J135" s="14"/>
      <c r="K135" s="14"/>
      <c r="L135" s="14"/>
      <c r="M135" s="14"/>
      <c r="N135" s="14"/>
      <c r="O135" s="14"/>
      <c r="P135" s="14"/>
      <c r="Q135" s="14"/>
      <c r="R135" s="14"/>
      <c r="S135" s="14"/>
      <c r="T135" s="14"/>
      <c r="U135" s="14"/>
      <c r="V135" s="14"/>
      <c r="W135" s="14"/>
      <c r="X135" s="14"/>
      <c r="Y135" s="14"/>
      <c r="Z135" s="14"/>
      <c r="AA135" s="14"/>
      <c r="AB135" s="14"/>
    </row>
    <row r="136" spans="1:28" hidden="1" x14ac:dyDescent="0.25">
      <c r="A136" s="66"/>
      <c r="B136" s="82" t="s">
        <v>169</v>
      </c>
      <c r="D136" s="90">
        <f>IF(2&gt;D74,0,-1/((0.184*ABS(SUM(D82:D83))^3-0.525*(SUM(D82:D83))^2+1.038*ABS(SUM(D82:D83))+1.001)))</f>
        <v>-1.268975420463137E-2</v>
      </c>
      <c r="E136" s="82"/>
      <c r="F136" s="76"/>
      <c r="G136" s="14"/>
      <c r="H136" s="14"/>
      <c r="I136" s="14"/>
      <c r="J136" s="14"/>
      <c r="K136" s="14"/>
      <c r="L136" s="14"/>
      <c r="M136" s="14"/>
      <c r="N136" s="14"/>
      <c r="O136" s="14"/>
      <c r="P136" s="14"/>
      <c r="Q136" s="14"/>
      <c r="R136" s="14"/>
      <c r="S136" s="14"/>
      <c r="T136" s="14"/>
      <c r="U136" s="14"/>
      <c r="V136" s="14"/>
      <c r="W136" s="14"/>
      <c r="X136" s="14"/>
      <c r="Y136" s="14"/>
      <c r="Z136" s="14"/>
      <c r="AA136" s="14"/>
      <c r="AB136" s="14"/>
    </row>
    <row r="137" spans="1:28" hidden="1" x14ac:dyDescent="0.25">
      <c r="A137" s="66"/>
      <c r="B137" s="82" t="s">
        <v>170</v>
      </c>
      <c r="D137" s="90">
        <f>IF(2&gt;D74,0,-1/((0.184*ABS(SUM(D82:D84))^3-0.525*(SUM(D82:D84))^2+1.038*ABS(SUM(D82:D84))+1.001)))</f>
        <v>-1.130598880811714E-2</v>
      </c>
      <c r="E137" s="82"/>
      <c r="F137" s="76"/>
      <c r="G137" s="14"/>
      <c r="H137" s="14"/>
      <c r="I137" s="14"/>
      <c r="J137" s="14"/>
      <c r="K137" s="14"/>
      <c r="L137" s="14"/>
      <c r="M137" s="14"/>
      <c r="N137" s="14"/>
      <c r="O137" s="14"/>
      <c r="P137" s="14"/>
      <c r="Q137" s="14"/>
      <c r="R137" s="14"/>
      <c r="S137" s="14"/>
      <c r="T137" s="14"/>
      <c r="U137" s="14"/>
      <c r="V137" s="14"/>
      <c r="W137" s="14"/>
      <c r="X137" s="14"/>
      <c r="Y137" s="14"/>
      <c r="Z137" s="14"/>
      <c r="AA137" s="14"/>
      <c r="AB137" s="14"/>
    </row>
    <row r="138" spans="1:28" hidden="1" x14ac:dyDescent="0.25">
      <c r="A138" s="66"/>
      <c r="B138" s="82" t="s">
        <v>171</v>
      </c>
      <c r="D138" s="90">
        <f>IF(3&gt;D74,0,-1/((0.184*ABS(SUM(D82:D85))^3-0.525*(SUM(D82:D85))^2+1.038*ABS(SUM(D82:D85))+1.001)))</f>
        <v>0</v>
      </c>
      <c r="E138" s="82"/>
      <c r="F138" s="76"/>
      <c r="G138" s="14"/>
      <c r="H138" s="14"/>
      <c r="I138" s="14"/>
      <c r="J138" s="14"/>
      <c r="K138" s="14"/>
      <c r="L138" s="14"/>
      <c r="M138" s="14"/>
      <c r="N138" s="14"/>
      <c r="O138" s="14"/>
      <c r="P138" s="14"/>
      <c r="Q138" s="14"/>
      <c r="R138" s="14"/>
      <c r="S138" s="14"/>
      <c r="T138" s="14"/>
      <c r="U138" s="14"/>
      <c r="V138" s="14"/>
      <c r="W138" s="14"/>
      <c r="X138" s="14"/>
      <c r="Y138" s="14"/>
      <c r="Z138" s="14"/>
      <c r="AA138" s="14"/>
      <c r="AB138" s="14"/>
    </row>
    <row r="139" spans="1:28" hidden="1" x14ac:dyDescent="0.25">
      <c r="A139" s="66"/>
      <c r="B139" s="82" t="s">
        <v>172</v>
      </c>
      <c r="D139" s="90">
        <f>IF(4&gt;D74,0,-1/((0.184*ABS(SUM(D82:D86))^3-0.525*(SUM(D82:D86))^2+1.038*ABS(SUM(D82:D86))+1.001)))</f>
        <v>0</v>
      </c>
      <c r="E139" s="82"/>
      <c r="F139" s="76"/>
      <c r="G139" s="14"/>
      <c r="H139" s="14"/>
      <c r="I139" s="14"/>
      <c r="J139" s="14"/>
      <c r="K139" s="14"/>
      <c r="L139" s="14"/>
      <c r="M139" s="14"/>
      <c r="N139" s="14"/>
      <c r="O139" s="14"/>
      <c r="P139" s="14"/>
      <c r="Q139" s="14"/>
      <c r="R139" s="14"/>
      <c r="S139" s="14"/>
      <c r="T139" s="14"/>
      <c r="U139" s="14"/>
      <c r="V139" s="14"/>
      <c r="W139" s="14"/>
      <c r="X139" s="14"/>
      <c r="Y139" s="14"/>
      <c r="Z139" s="14"/>
      <c r="AA139" s="14"/>
      <c r="AB139" s="14"/>
    </row>
    <row r="140" spans="1:28" hidden="1" x14ac:dyDescent="0.25">
      <c r="A140" s="66"/>
      <c r="B140" s="82" t="s">
        <v>173</v>
      </c>
      <c r="D140" s="90">
        <f>IF(5&gt;D74,0,-1/((0.184*ABS(SUM(D82:D87))^3-0.525*(SUM(D82:D87))^2+1.038*ABS(SUM(D82:D87))+1.001)))</f>
        <v>0</v>
      </c>
      <c r="E140" s="82"/>
      <c r="F140" s="76"/>
      <c r="G140" s="14"/>
      <c r="H140" s="14"/>
      <c r="I140" s="14"/>
      <c r="J140" s="14"/>
      <c r="K140" s="14"/>
      <c r="L140" s="14"/>
      <c r="M140" s="14"/>
      <c r="N140" s="14"/>
      <c r="O140" s="14"/>
      <c r="P140" s="14"/>
      <c r="Q140" s="14"/>
      <c r="R140" s="14"/>
      <c r="S140" s="14"/>
      <c r="T140" s="14"/>
      <c r="U140" s="14"/>
      <c r="V140" s="14"/>
      <c r="W140" s="14"/>
      <c r="X140" s="14"/>
      <c r="Y140" s="14"/>
      <c r="Z140" s="14"/>
      <c r="AA140" s="14"/>
      <c r="AB140" s="14"/>
    </row>
    <row r="141" spans="1:28" hidden="1" x14ac:dyDescent="0.25">
      <c r="A141" s="66"/>
      <c r="B141" s="82" t="s">
        <v>174</v>
      </c>
      <c r="D141" s="90">
        <f>IF(6&gt;D74,0,-1/((0.184*ABS(SUM(D82:D88))^3-0.525*(SUM(D82:D88))^2+1.038*ABS(SUM(D82:D88))+1.001)))</f>
        <v>0</v>
      </c>
      <c r="E141" s="82"/>
      <c r="F141" s="76"/>
      <c r="G141" s="14"/>
      <c r="H141" s="14"/>
      <c r="I141" s="14"/>
      <c r="J141" s="14"/>
      <c r="K141" s="14"/>
      <c r="L141" s="14"/>
      <c r="M141" s="14"/>
      <c r="N141" s="14"/>
      <c r="O141" s="14"/>
      <c r="P141" s="14"/>
      <c r="Q141" s="14"/>
      <c r="R141" s="14"/>
      <c r="S141" s="14"/>
      <c r="T141" s="14"/>
      <c r="U141" s="14"/>
      <c r="V141" s="14"/>
      <c r="W141" s="14"/>
      <c r="X141" s="14"/>
      <c r="Y141" s="14"/>
      <c r="Z141" s="14"/>
      <c r="AA141" s="14"/>
      <c r="AB141" s="14"/>
    </row>
    <row r="142" spans="1:28" hidden="1" x14ac:dyDescent="0.25">
      <c r="A142" s="66"/>
      <c r="B142" s="82" t="s">
        <v>175</v>
      </c>
      <c r="D142" s="90">
        <f>IF(7&gt;D74,0,-1/((0.184*ABS(SUM(D82:D89))^3-0.525*(SUM(D82:D89))^2+1.038*ABS(SUM(D82:D89))+1.001)))</f>
        <v>0</v>
      </c>
      <c r="E142" s="82"/>
      <c r="F142" s="76"/>
      <c r="G142" s="14"/>
      <c r="H142" s="14"/>
      <c r="I142" s="14"/>
      <c r="J142" s="14"/>
      <c r="K142" s="14"/>
      <c r="L142" s="14"/>
      <c r="M142" s="14"/>
      <c r="N142" s="14"/>
      <c r="O142" s="14"/>
      <c r="P142" s="14"/>
      <c r="Q142" s="14"/>
      <c r="R142" s="14"/>
      <c r="S142" s="14"/>
      <c r="T142" s="14"/>
      <c r="U142" s="14"/>
      <c r="V142" s="14"/>
      <c r="W142" s="14"/>
      <c r="X142" s="14"/>
      <c r="Y142" s="14"/>
      <c r="Z142" s="14"/>
      <c r="AA142" s="14"/>
      <c r="AB142" s="14"/>
    </row>
    <row r="143" spans="1:28" hidden="1" x14ac:dyDescent="0.25">
      <c r="A143" s="66"/>
      <c r="B143" s="82" t="s">
        <v>176</v>
      </c>
      <c r="D143" s="90">
        <f>IF(8&gt;D74,0,-1/((0.184*ABS(SUM(D82:D90))^3-0.525*(SUM(D82:D90))^2+1.038*ABS(SUM(D82:D90))+1.001)))</f>
        <v>0</v>
      </c>
      <c r="E143" s="82"/>
      <c r="F143" s="76"/>
      <c r="G143" s="14"/>
      <c r="H143" s="14"/>
      <c r="I143" s="14"/>
      <c r="J143" s="14"/>
      <c r="K143" s="14"/>
      <c r="L143" s="14"/>
      <c r="M143" s="14"/>
      <c r="N143" s="14"/>
      <c r="O143" s="14"/>
      <c r="P143" s="14"/>
      <c r="Q143" s="14"/>
      <c r="R143" s="14"/>
      <c r="S143" s="14"/>
      <c r="T143" s="14"/>
      <c r="U143" s="14"/>
      <c r="V143" s="14"/>
      <c r="W143" s="14"/>
      <c r="X143" s="14"/>
      <c r="Y143" s="14"/>
      <c r="Z143" s="14"/>
      <c r="AA143" s="14"/>
      <c r="AB143" s="14"/>
    </row>
    <row r="144" spans="1:28" hidden="1" x14ac:dyDescent="0.25">
      <c r="A144" s="66"/>
      <c r="B144" s="82" t="s">
        <v>177</v>
      </c>
      <c r="D144" s="90">
        <f>IF(3&gt;D74,0,-1/((0.184*ABS(SUM(D81:D83))^3-0.525*(SUM(D81:D83))^2+1.038*ABS(SUM(D81:D83))+1.001)))</f>
        <v>0</v>
      </c>
      <c r="E144" s="82"/>
      <c r="F144" s="76"/>
      <c r="G144" s="14"/>
      <c r="H144" s="14"/>
      <c r="I144" s="14"/>
      <c r="J144" s="14"/>
      <c r="K144" s="14"/>
      <c r="L144" s="14"/>
      <c r="M144" s="14"/>
      <c r="N144" s="14"/>
      <c r="O144" s="14"/>
      <c r="P144" s="14"/>
      <c r="Q144" s="14"/>
      <c r="R144" s="14"/>
      <c r="S144" s="14"/>
      <c r="T144" s="14"/>
      <c r="U144" s="14"/>
      <c r="V144" s="14"/>
      <c r="W144" s="14"/>
      <c r="X144" s="14"/>
      <c r="Y144" s="14"/>
      <c r="Z144" s="14"/>
      <c r="AA144" s="14"/>
      <c r="AB144" s="14"/>
    </row>
    <row r="145" spans="1:28" hidden="1" x14ac:dyDescent="0.25">
      <c r="A145" s="66"/>
      <c r="B145" s="82" t="s">
        <v>178</v>
      </c>
      <c r="D145" s="90">
        <f>IF(3&gt;D74,0,-1/((0.184*ABS(SUM(D81:D84))^3-0.525*(SUM(D81:D84))^2+1.038*ABS(SUM(D81:D84))+1.001)))</f>
        <v>0</v>
      </c>
      <c r="E145" s="82"/>
      <c r="F145" s="76"/>
      <c r="G145" s="14"/>
      <c r="H145" s="14"/>
      <c r="I145" s="14"/>
      <c r="J145" s="14"/>
      <c r="K145" s="14"/>
      <c r="L145" s="14"/>
      <c r="M145" s="14"/>
      <c r="N145" s="14"/>
      <c r="O145" s="14"/>
      <c r="P145" s="14"/>
      <c r="Q145" s="14"/>
      <c r="R145" s="14"/>
      <c r="S145" s="14"/>
      <c r="T145" s="14"/>
      <c r="U145" s="14"/>
      <c r="V145" s="14"/>
      <c r="W145" s="14"/>
      <c r="X145" s="14"/>
      <c r="Y145" s="14"/>
      <c r="Z145" s="14"/>
      <c r="AA145" s="14"/>
      <c r="AB145" s="14"/>
    </row>
    <row r="146" spans="1:28" hidden="1" x14ac:dyDescent="0.25">
      <c r="A146" s="66"/>
      <c r="B146" s="82" t="s">
        <v>179</v>
      </c>
      <c r="D146" s="90">
        <f>IF(3&gt;D74,0,-1/((0.184*ABS(SUM(D81:D85))^3-0.525*(SUM(D81:D85))^2+1.038*ABS(SUM(D81:D85))+1.001)))</f>
        <v>0</v>
      </c>
      <c r="E146" s="82"/>
      <c r="F146" s="76"/>
      <c r="G146" s="14"/>
      <c r="H146" s="14"/>
      <c r="I146" s="14"/>
      <c r="J146" s="14"/>
      <c r="K146" s="14"/>
      <c r="L146" s="14"/>
      <c r="M146" s="14"/>
      <c r="N146" s="14"/>
      <c r="O146" s="14"/>
      <c r="P146" s="14"/>
      <c r="Q146" s="14"/>
      <c r="R146" s="14"/>
      <c r="S146" s="14"/>
      <c r="T146" s="14"/>
      <c r="U146" s="14"/>
      <c r="V146" s="14"/>
      <c r="W146" s="14"/>
      <c r="X146" s="14"/>
      <c r="Y146" s="14"/>
      <c r="Z146" s="14"/>
      <c r="AA146" s="14"/>
      <c r="AB146" s="14"/>
    </row>
    <row r="147" spans="1:28" hidden="1" x14ac:dyDescent="0.25">
      <c r="A147" s="66"/>
      <c r="B147" s="82" t="s">
        <v>180</v>
      </c>
      <c r="D147" s="90">
        <f>IF(4&gt;D74,0,-1/((0.184*ABS(SUM(D81:D86))^3-0.525*(SUM(D81:D86))^2+1.038*ABS(SUM(D81:D86))+1.001)))</f>
        <v>0</v>
      </c>
      <c r="E147" s="82"/>
      <c r="F147" s="76"/>
      <c r="G147" s="14"/>
      <c r="H147" s="14"/>
      <c r="I147" s="14"/>
      <c r="J147" s="14"/>
      <c r="K147" s="14"/>
      <c r="L147" s="14"/>
      <c r="M147" s="14"/>
      <c r="N147" s="14"/>
      <c r="O147" s="14"/>
      <c r="P147" s="14"/>
      <c r="Q147" s="14"/>
      <c r="R147" s="14"/>
      <c r="S147" s="14"/>
      <c r="T147" s="14"/>
      <c r="U147" s="14"/>
      <c r="V147" s="14"/>
      <c r="W147" s="14"/>
      <c r="X147" s="14"/>
      <c r="Y147" s="14"/>
      <c r="Z147" s="14"/>
      <c r="AA147" s="14"/>
      <c r="AB147" s="14"/>
    </row>
    <row r="148" spans="1:28" hidden="1" x14ac:dyDescent="0.25">
      <c r="A148" s="66"/>
      <c r="B148" s="82" t="s">
        <v>181</v>
      </c>
      <c r="D148" s="90">
        <f>IF(5&gt;D74,0,-1/((0.184*ABS(SUM(D81:D87))^3-0.525*(SUM(D81:D87))^2+1.038*ABS(SUM(D81:D87))+1.001)))</f>
        <v>0</v>
      </c>
      <c r="E148" s="82"/>
      <c r="F148" s="76"/>
      <c r="G148" s="14"/>
      <c r="H148" s="14"/>
      <c r="I148" s="14"/>
      <c r="J148" s="14"/>
      <c r="K148" s="14"/>
      <c r="L148" s="14"/>
      <c r="M148" s="14"/>
      <c r="N148" s="14"/>
      <c r="O148" s="14"/>
      <c r="P148" s="14"/>
      <c r="Q148" s="14"/>
      <c r="R148" s="14"/>
      <c r="S148" s="14"/>
      <c r="T148" s="14"/>
      <c r="U148" s="14"/>
      <c r="V148" s="14"/>
      <c r="W148" s="14"/>
      <c r="X148" s="14"/>
      <c r="Y148" s="14"/>
      <c r="Z148" s="14"/>
      <c r="AA148" s="14"/>
      <c r="AB148" s="14"/>
    </row>
    <row r="149" spans="1:28" hidden="1" x14ac:dyDescent="0.25">
      <c r="A149" s="66"/>
      <c r="B149" s="82" t="s">
        <v>182</v>
      </c>
      <c r="D149" s="90">
        <f>IF(6&gt;D74,0,-1/((0.184*ABS(SUM(D81:D88))^3-0.525*(SUM(D81:D88))^2+1.038*ABS(SUM(D81:D88))+1.001)))</f>
        <v>0</v>
      </c>
      <c r="E149" s="82"/>
      <c r="F149" s="76"/>
      <c r="G149" s="14"/>
      <c r="H149" s="14"/>
      <c r="I149" s="14"/>
      <c r="J149" s="14"/>
      <c r="K149" s="14"/>
      <c r="L149" s="14"/>
      <c r="M149" s="14"/>
      <c r="N149" s="14"/>
      <c r="O149" s="14"/>
      <c r="P149" s="14"/>
      <c r="Q149" s="14"/>
      <c r="R149" s="14"/>
      <c r="S149" s="14"/>
      <c r="T149" s="14"/>
      <c r="U149" s="14"/>
      <c r="V149" s="14"/>
      <c r="W149" s="14"/>
      <c r="X149" s="14"/>
      <c r="Y149" s="14"/>
      <c r="Z149" s="14"/>
      <c r="AA149" s="14"/>
      <c r="AB149" s="14"/>
    </row>
    <row r="150" spans="1:28" hidden="1" x14ac:dyDescent="0.25">
      <c r="A150" s="66"/>
      <c r="B150" s="82" t="s">
        <v>183</v>
      </c>
      <c r="D150" s="90">
        <f>IF(7&gt;D74,0,-1/((0.184*ABS(SUM(D81:D89))^3-0.525*(SUM(D81:D89))^2+1.038*ABS(SUM(D81:D89))+1.001)))</f>
        <v>0</v>
      </c>
      <c r="E150" s="82"/>
      <c r="F150" s="76"/>
      <c r="G150" s="14"/>
      <c r="H150" s="14"/>
      <c r="I150" s="14"/>
      <c r="J150" s="14"/>
      <c r="K150" s="14"/>
      <c r="L150" s="14"/>
      <c r="M150" s="14"/>
      <c r="N150" s="14"/>
      <c r="O150" s="14"/>
      <c r="P150" s="14"/>
      <c r="Q150" s="14"/>
      <c r="R150" s="14"/>
      <c r="S150" s="14"/>
      <c r="T150" s="14"/>
      <c r="U150" s="14"/>
      <c r="V150" s="14"/>
      <c r="W150" s="14"/>
      <c r="X150" s="14"/>
      <c r="Y150" s="14"/>
      <c r="Z150" s="14"/>
      <c r="AA150" s="14"/>
      <c r="AB150" s="14"/>
    </row>
    <row r="151" spans="1:28" hidden="1" x14ac:dyDescent="0.25">
      <c r="A151" s="66"/>
      <c r="B151" s="82" t="s">
        <v>184</v>
      </c>
      <c r="D151" s="90">
        <f>IF(8&gt;D74,0,-1/((0.184*ABS(SUM(D81:D90))^3-0.525*(SUM(D81:D90))^2+1.038*ABS(SUM(D81:D90))+1.001)))</f>
        <v>0</v>
      </c>
      <c r="E151" s="82"/>
      <c r="F151" s="76"/>
      <c r="G151" s="14"/>
      <c r="H151" s="14"/>
      <c r="I151" s="14"/>
      <c r="J151" s="14"/>
      <c r="K151" s="14"/>
      <c r="L151" s="14"/>
      <c r="M151" s="14"/>
      <c r="N151" s="14"/>
      <c r="O151" s="14"/>
      <c r="P151" s="14"/>
      <c r="Q151" s="14"/>
      <c r="R151" s="14"/>
      <c r="S151" s="14"/>
      <c r="T151" s="14"/>
      <c r="U151" s="14"/>
      <c r="V151" s="14"/>
      <c r="W151" s="14"/>
      <c r="X151" s="14"/>
      <c r="Y151" s="14"/>
      <c r="Z151" s="14"/>
      <c r="AA151" s="14"/>
      <c r="AB151" s="14"/>
    </row>
    <row r="152" spans="1:28" hidden="1" x14ac:dyDescent="0.25">
      <c r="A152" s="66"/>
      <c r="B152" s="82" t="s">
        <v>185</v>
      </c>
      <c r="D152" s="90">
        <f>IF(4&gt;D74,0,-1/((0.184*ABS(SUM(D80:D83))^3-0.525*(SUM(D80:D83))^2+1.038*ABS(SUM(D80:D83))+1.001)))</f>
        <v>0</v>
      </c>
      <c r="E152" s="82"/>
      <c r="F152" s="76"/>
      <c r="G152" s="14"/>
      <c r="H152" s="14"/>
      <c r="I152" s="14"/>
      <c r="J152" s="14"/>
      <c r="K152" s="14"/>
      <c r="L152" s="14"/>
      <c r="M152" s="14"/>
      <c r="N152" s="14"/>
      <c r="O152" s="14"/>
      <c r="P152" s="14"/>
      <c r="Q152" s="14"/>
      <c r="R152" s="14"/>
      <c r="S152" s="14"/>
      <c r="T152" s="14"/>
      <c r="U152" s="14"/>
      <c r="V152" s="14"/>
      <c r="W152" s="14"/>
      <c r="X152" s="14"/>
      <c r="Y152" s="14"/>
      <c r="Z152" s="14"/>
      <c r="AA152" s="14"/>
      <c r="AB152" s="14"/>
    </row>
    <row r="153" spans="1:28" hidden="1" x14ac:dyDescent="0.25">
      <c r="A153" s="66"/>
      <c r="B153" s="82" t="s">
        <v>186</v>
      </c>
      <c r="D153" s="90">
        <f>IF(4&gt;D74,0,-1/((0.184*ABS(SUM(D80:D84))^3-0.525*(SUM(D80:D84))^2+1.038*ABS(SUM(D80:D84))+1.001)))</f>
        <v>0</v>
      </c>
      <c r="E153" s="82"/>
      <c r="F153" s="76"/>
      <c r="G153" s="14"/>
      <c r="H153" s="14"/>
      <c r="I153" s="14"/>
      <c r="J153" s="14"/>
      <c r="K153" s="14"/>
      <c r="L153" s="14"/>
      <c r="M153" s="14"/>
      <c r="N153" s="14"/>
      <c r="O153" s="14"/>
      <c r="P153" s="14"/>
      <c r="Q153" s="14"/>
      <c r="R153" s="14"/>
      <c r="S153" s="14"/>
      <c r="T153" s="14"/>
      <c r="U153" s="14"/>
      <c r="V153" s="14"/>
      <c r="W153" s="14"/>
      <c r="X153" s="14"/>
      <c r="Y153" s="14"/>
      <c r="Z153" s="14"/>
      <c r="AA153" s="14"/>
      <c r="AB153" s="14"/>
    </row>
    <row r="154" spans="1:28" hidden="1" x14ac:dyDescent="0.25">
      <c r="A154" s="66"/>
      <c r="B154" s="82" t="s">
        <v>187</v>
      </c>
      <c r="D154" s="90">
        <f>IF(4&gt;D74,0,-1/((0.184*ABS(SUM(D80:D85))^3-0.525*(SUM(D80:D85))^2+1.038*ABS(SUM(D80:D85))+1.001)))</f>
        <v>0</v>
      </c>
      <c r="E154" s="82"/>
      <c r="F154" s="76"/>
      <c r="G154" s="14"/>
      <c r="H154" s="14"/>
      <c r="I154" s="14"/>
      <c r="J154" s="14"/>
      <c r="K154" s="14"/>
      <c r="L154" s="14"/>
      <c r="M154" s="14"/>
      <c r="N154" s="14"/>
      <c r="O154" s="14"/>
      <c r="P154" s="14"/>
      <c r="Q154" s="14"/>
      <c r="R154" s="14"/>
      <c r="S154" s="14"/>
      <c r="T154" s="14"/>
      <c r="U154" s="14"/>
      <c r="V154" s="14"/>
      <c r="W154" s="14"/>
      <c r="X154" s="14"/>
      <c r="Y154" s="14"/>
      <c r="Z154" s="14"/>
      <c r="AA154" s="14"/>
      <c r="AB154" s="14"/>
    </row>
    <row r="155" spans="1:28" hidden="1" x14ac:dyDescent="0.25">
      <c r="A155" s="66"/>
      <c r="B155" s="82" t="s">
        <v>188</v>
      </c>
      <c r="D155" s="90">
        <f>IF(4&gt;D74,0,-1/((0.184*ABS(SUM(D80:D86))^3-0.525*(SUM(D80:D86))^2+1.038*ABS(SUM(D80:D86))+1.001)))</f>
        <v>0</v>
      </c>
      <c r="E155" s="82"/>
      <c r="F155" s="76"/>
      <c r="G155" s="14"/>
      <c r="H155" s="14"/>
      <c r="I155" s="14"/>
      <c r="J155" s="14"/>
      <c r="K155" s="14"/>
      <c r="L155" s="14"/>
      <c r="M155" s="14"/>
      <c r="N155" s="14"/>
      <c r="O155" s="14"/>
      <c r="P155" s="14"/>
      <c r="Q155" s="14"/>
      <c r="R155" s="14"/>
      <c r="S155" s="14"/>
      <c r="T155" s="14"/>
      <c r="U155" s="14"/>
      <c r="V155" s="14"/>
      <c r="W155" s="14"/>
      <c r="X155" s="14"/>
      <c r="Y155" s="14"/>
      <c r="Z155" s="14"/>
      <c r="AA155" s="14"/>
      <c r="AB155" s="14"/>
    </row>
    <row r="156" spans="1:28" hidden="1" x14ac:dyDescent="0.25">
      <c r="A156" s="66"/>
      <c r="B156" s="82" t="s">
        <v>189</v>
      </c>
      <c r="D156" s="90">
        <f>IF(5&gt;D74,0,-1/((0.184*ABS(SUM(D80:D87))^3-0.525*(SUM(D80:D87))^2+1.038*ABS(SUM(D80:D87))+1.001)))</f>
        <v>0</v>
      </c>
      <c r="E156" s="82"/>
      <c r="F156" s="76"/>
      <c r="G156" s="14"/>
      <c r="H156" s="14"/>
      <c r="I156" s="14"/>
      <c r="J156" s="14"/>
      <c r="K156" s="14"/>
      <c r="L156" s="14"/>
      <c r="M156" s="14"/>
      <c r="N156" s="14"/>
      <c r="O156" s="14"/>
      <c r="P156" s="14"/>
      <c r="Q156" s="14"/>
      <c r="R156" s="14"/>
      <c r="S156" s="14"/>
      <c r="T156" s="14"/>
      <c r="U156" s="14"/>
      <c r="V156" s="14"/>
      <c r="W156" s="14"/>
      <c r="X156" s="14"/>
      <c r="Y156" s="14"/>
      <c r="Z156" s="14"/>
      <c r="AA156" s="14"/>
      <c r="AB156" s="14"/>
    </row>
    <row r="157" spans="1:28" hidden="1" x14ac:dyDescent="0.25">
      <c r="A157" s="66"/>
      <c r="B157" s="82" t="s">
        <v>190</v>
      </c>
      <c r="D157" s="90">
        <f>IF(6&gt;D74,0,-1/((0.184*ABS(SUM(D80:D88))^3-0.525*(SUM(D80:D88))^2+1.038*ABS(SUM(D80:D88))+1.001)))</f>
        <v>0</v>
      </c>
      <c r="E157" s="82"/>
      <c r="F157" s="76"/>
      <c r="G157" s="14"/>
      <c r="H157" s="14"/>
      <c r="I157" s="14"/>
      <c r="J157" s="14"/>
      <c r="K157" s="14"/>
      <c r="L157" s="14"/>
      <c r="M157" s="14"/>
      <c r="N157" s="14"/>
      <c r="O157" s="14"/>
      <c r="P157" s="14"/>
      <c r="Q157" s="14"/>
      <c r="R157" s="14"/>
      <c r="S157" s="14"/>
      <c r="T157" s="14"/>
      <c r="U157" s="14"/>
      <c r="V157" s="14"/>
      <c r="W157" s="14"/>
      <c r="X157" s="14"/>
      <c r="Y157" s="14"/>
      <c r="Z157" s="14"/>
      <c r="AA157" s="14"/>
      <c r="AB157" s="14"/>
    </row>
    <row r="158" spans="1:28" hidden="1" x14ac:dyDescent="0.25">
      <c r="A158" s="66"/>
      <c r="B158" s="82" t="s">
        <v>191</v>
      </c>
      <c r="D158" s="90">
        <f>IF(7&gt;D74,0,-1/((0.184*ABS(SUM(D80:D89))^3-0.525*(SUM(D80:D89))^2+1.038*ABS(SUM(D80:D89))+1.001)))</f>
        <v>0</v>
      </c>
      <c r="E158" s="82"/>
      <c r="F158" s="76"/>
      <c r="G158" s="14"/>
      <c r="H158" s="14"/>
      <c r="I158" s="14"/>
      <c r="J158" s="14"/>
      <c r="K158" s="14"/>
      <c r="L158" s="14"/>
      <c r="M158" s="14"/>
      <c r="N158" s="14"/>
      <c r="O158" s="14"/>
      <c r="P158" s="14"/>
      <c r="Q158" s="14"/>
      <c r="R158" s="14"/>
      <c r="S158" s="14"/>
      <c r="T158" s="14"/>
      <c r="U158" s="14"/>
      <c r="V158" s="14"/>
      <c r="W158" s="14"/>
      <c r="X158" s="14"/>
      <c r="Y158" s="14"/>
      <c r="Z158" s="14"/>
      <c r="AA158" s="14"/>
      <c r="AB158" s="14"/>
    </row>
    <row r="159" spans="1:28" hidden="1" x14ac:dyDescent="0.25">
      <c r="A159" s="66"/>
      <c r="B159" s="82" t="s">
        <v>192</v>
      </c>
      <c r="D159" s="90">
        <f>IF(8&gt;D74,0,-1/((0.184*ABS(SUM(D80:D90))^3-0.525*(SUM(D80:D90))^2+1.038*ABS(SUM(D80:D90))+1.001)))</f>
        <v>0</v>
      </c>
      <c r="E159" s="82"/>
      <c r="F159" s="76"/>
      <c r="G159" s="14"/>
      <c r="H159" s="14"/>
      <c r="I159" s="14"/>
      <c r="J159" s="14"/>
      <c r="K159" s="14"/>
      <c r="L159" s="14"/>
      <c r="M159" s="14"/>
      <c r="N159" s="14"/>
      <c r="O159" s="14"/>
      <c r="P159" s="14"/>
      <c r="Q159" s="14"/>
      <c r="R159" s="14"/>
      <c r="S159" s="14"/>
      <c r="T159" s="14"/>
      <c r="U159" s="14"/>
      <c r="V159" s="14"/>
      <c r="W159" s="14"/>
      <c r="X159" s="14"/>
      <c r="Y159" s="14"/>
      <c r="Z159" s="14"/>
      <c r="AA159" s="14"/>
      <c r="AB159" s="14"/>
    </row>
    <row r="160" spans="1:28" hidden="1" x14ac:dyDescent="0.25">
      <c r="A160" s="66"/>
      <c r="B160" s="82" t="s">
        <v>193</v>
      </c>
      <c r="D160" s="90">
        <f>IF(5&gt;D74,0,-1/((0.184*ABS(SUM(D79:D83))^3-0.525*(SUM(D79:D83))^2+1.038*ABS(SUM(D79:D83))+1.001)))</f>
        <v>0</v>
      </c>
      <c r="E160" s="82"/>
      <c r="F160" s="76"/>
      <c r="G160" s="14"/>
      <c r="H160" s="14"/>
      <c r="I160" s="14"/>
      <c r="J160" s="14"/>
      <c r="K160" s="14"/>
      <c r="L160" s="14"/>
      <c r="M160" s="14"/>
      <c r="N160" s="14"/>
      <c r="O160" s="14"/>
      <c r="P160" s="14"/>
      <c r="Q160" s="14"/>
      <c r="R160" s="14"/>
      <c r="S160" s="14"/>
      <c r="T160" s="14"/>
      <c r="U160" s="14"/>
      <c r="V160" s="14"/>
      <c r="W160" s="14"/>
      <c r="X160" s="14"/>
      <c r="Y160" s="14"/>
      <c r="Z160" s="14"/>
      <c r="AA160" s="14"/>
      <c r="AB160" s="14"/>
    </row>
    <row r="161" spans="1:28" hidden="1" x14ac:dyDescent="0.25">
      <c r="A161" s="66"/>
      <c r="B161" s="82" t="s">
        <v>194</v>
      </c>
      <c r="D161" s="90">
        <f>IF(5&gt;D74,0,-1/((0.184*ABS(SUM(D79:D84))^3-0.525*(SUM(D79:D84))^2+1.038*ABS(SUM(D79:D84))+1.001)))</f>
        <v>0</v>
      </c>
      <c r="E161" s="82"/>
      <c r="F161" s="76"/>
      <c r="G161" s="14"/>
      <c r="H161" s="14"/>
      <c r="I161" s="14"/>
      <c r="J161" s="14"/>
      <c r="K161" s="14"/>
      <c r="L161" s="14"/>
      <c r="M161" s="14"/>
      <c r="N161" s="14"/>
      <c r="O161" s="14"/>
      <c r="P161" s="14"/>
      <c r="Q161" s="14"/>
      <c r="R161" s="14"/>
      <c r="S161" s="14"/>
      <c r="T161" s="14"/>
      <c r="U161" s="14"/>
      <c r="V161" s="14"/>
      <c r="W161" s="14"/>
      <c r="X161" s="14"/>
      <c r="Y161" s="14"/>
      <c r="Z161" s="14"/>
      <c r="AA161" s="14"/>
      <c r="AB161" s="14"/>
    </row>
    <row r="162" spans="1:28" hidden="1" x14ac:dyDescent="0.25">
      <c r="A162" s="66"/>
      <c r="B162" s="82" t="s">
        <v>195</v>
      </c>
      <c r="D162" s="90">
        <f>IF(5&gt;D74,0,-1/((0.184*ABS(SUM(D79:D85))^3-0.525*(SUM(D79:D85))^2+1.038*ABS(SUM(D79:D85))+1.001)))</f>
        <v>0</v>
      </c>
      <c r="E162" s="82"/>
      <c r="F162" s="76"/>
      <c r="G162" s="14"/>
      <c r="H162" s="14"/>
      <c r="I162" s="14"/>
      <c r="J162" s="14"/>
      <c r="K162" s="14"/>
      <c r="L162" s="14"/>
      <c r="M162" s="14"/>
      <c r="N162" s="14"/>
      <c r="O162" s="14"/>
      <c r="P162" s="14"/>
      <c r="Q162" s="14"/>
      <c r="R162" s="14"/>
      <c r="S162" s="14"/>
      <c r="T162" s="14"/>
      <c r="U162" s="14"/>
      <c r="V162" s="14"/>
      <c r="W162" s="14"/>
      <c r="X162" s="14"/>
      <c r="Y162" s="14"/>
      <c r="Z162" s="14"/>
      <c r="AA162" s="14"/>
      <c r="AB162" s="14"/>
    </row>
    <row r="163" spans="1:28" hidden="1" x14ac:dyDescent="0.25">
      <c r="A163" s="66"/>
      <c r="B163" s="82" t="s">
        <v>196</v>
      </c>
      <c r="D163" s="93">
        <f>IF(5&gt;D74,0,-1/((0.184*ABS(SUM(D79:D86))^3-0.525*(SUM(D79:D86))^2+1.038*ABS(SUM(D79:D86))+1.001)))</f>
        <v>0</v>
      </c>
      <c r="E163" s="82"/>
      <c r="F163" s="76"/>
      <c r="G163" s="14"/>
      <c r="H163" s="14"/>
      <c r="I163" s="14"/>
      <c r="J163" s="14"/>
      <c r="K163" s="14"/>
      <c r="L163" s="14"/>
      <c r="M163" s="14"/>
      <c r="N163" s="14"/>
      <c r="O163" s="14"/>
      <c r="P163" s="14"/>
      <c r="Q163" s="14"/>
      <c r="R163" s="14"/>
      <c r="S163" s="14"/>
      <c r="T163" s="14"/>
      <c r="U163" s="14"/>
      <c r="V163" s="14"/>
      <c r="W163" s="14"/>
      <c r="X163" s="14"/>
      <c r="Y163" s="14"/>
      <c r="Z163" s="14"/>
      <c r="AA163" s="14"/>
      <c r="AB163" s="14"/>
    </row>
    <row r="164" spans="1:28" hidden="1" x14ac:dyDescent="0.25">
      <c r="A164" s="66"/>
      <c r="B164" s="82" t="s">
        <v>197</v>
      </c>
      <c r="D164" s="93">
        <f>IF(5&gt;D74,0,-1/((0.184*ABS(SUM(D79:D87))^3-0.525*(SUM(D79:D87))^2+1.038*ABS(SUM(D79:D87))+1.001)))</f>
        <v>0</v>
      </c>
      <c r="E164" s="82"/>
      <c r="F164" s="76"/>
      <c r="G164" s="14"/>
      <c r="H164" s="14"/>
      <c r="I164" s="14"/>
      <c r="J164" s="14"/>
      <c r="K164" s="14"/>
      <c r="L164" s="14"/>
      <c r="M164" s="14"/>
      <c r="N164" s="14"/>
      <c r="O164" s="14"/>
      <c r="P164" s="14"/>
      <c r="Q164" s="14"/>
      <c r="R164" s="14"/>
      <c r="S164" s="14"/>
      <c r="T164" s="14"/>
      <c r="U164" s="14"/>
      <c r="V164" s="14"/>
      <c r="W164" s="14"/>
      <c r="X164" s="14"/>
      <c r="Y164" s="14"/>
      <c r="Z164" s="14"/>
      <c r="AA164" s="14"/>
      <c r="AB164" s="14"/>
    </row>
    <row r="165" spans="1:28" hidden="1" x14ac:dyDescent="0.25">
      <c r="A165" s="66"/>
      <c r="B165" s="82" t="s">
        <v>198</v>
      </c>
      <c r="D165" s="93">
        <f>IF(6&gt;D74,0,-1/((0.184*ABS(SUM(D79:D88))^3-0.525*(SUM(D79:D88))^2+1.038*ABS(SUM(D79:D88))+1.001)))</f>
        <v>0</v>
      </c>
      <c r="E165" s="82"/>
      <c r="F165" s="76"/>
      <c r="G165" s="14"/>
      <c r="H165" s="14"/>
      <c r="I165" s="14"/>
      <c r="J165" s="14"/>
      <c r="K165" s="14"/>
      <c r="L165" s="14"/>
      <c r="M165" s="14"/>
      <c r="N165" s="14"/>
      <c r="O165" s="14"/>
      <c r="P165" s="14"/>
      <c r="Q165" s="14"/>
      <c r="R165" s="14"/>
      <c r="S165" s="14"/>
      <c r="T165" s="14"/>
      <c r="U165" s="14"/>
      <c r="V165" s="14"/>
      <c r="W165" s="14"/>
      <c r="X165" s="14"/>
      <c r="Y165" s="14"/>
      <c r="Z165" s="14"/>
      <c r="AA165" s="14"/>
      <c r="AB165" s="14"/>
    </row>
    <row r="166" spans="1:28" hidden="1" x14ac:dyDescent="0.25">
      <c r="A166" s="66"/>
      <c r="B166" s="82" t="s">
        <v>199</v>
      </c>
      <c r="D166" s="93">
        <f>IF(7&gt;D74,0,-1/((0.184*ABS(SUM(D79:D89))^3-0.525*(SUM(D79:D89))^2+1.038*ABS(SUM(D79:D89))+1.001)))</f>
        <v>0</v>
      </c>
      <c r="E166" s="82"/>
      <c r="F166" s="76"/>
      <c r="G166" s="14"/>
      <c r="H166" s="14"/>
      <c r="I166" s="14"/>
      <c r="J166" s="14"/>
      <c r="K166" s="14"/>
      <c r="L166" s="14"/>
      <c r="M166" s="14"/>
      <c r="N166" s="14"/>
      <c r="O166" s="14"/>
      <c r="P166" s="14"/>
      <c r="Q166" s="14"/>
      <c r="R166" s="14"/>
      <c r="S166" s="14"/>
      <c r="T166" s="14"/>
      <c r="U166" s="14"/>
      <c r="V166" s="14"/>
      <c r="W166" s="14"/>
      <c r="X166" s="14"/>
      <c r="Y166" s="14"/>
      <c r="Z166" s="14"/>
      <c r="AA166" s="14"/>
      <c r="AB166" s="14"/>
    </row>
    <row r="167" spans="1:28" hidden="1" x14ac:dyDescent="0.25">
      <c r="A167" s="66"/>
      <c r="B167" s="82" t="s">
        <v>200</v>
      </c>
      <c r="D167" s="93">
        <f>IF(8&gt;D74,0,-1/((0.184*ABS(SUM(D79:D90))^3-0.525*(SUM(D79:D90))^2+1.038*ABS(SUM(D79:D90))+1.001)))</f>
        <v>0</v>
      </c>
      <c r="E167" s="82"/>
      <c r="F167" s="76"/>
      <c r="G167" s="14"/>
      <c r="H167" s="14"/>
      <c r="I167" s="14"/>
      <c r="J167" s="14"/>
      <c r="K167" s="14"/>
      <c r="L167" s="14"/>
      <c r="M167" s="14"/>
      <c r="N167" s="14"/>
      <c r="O167" s="14"/>
      <c r="P167" s="14"/>
      <c r="Q167" s="14"/>
      <c r="R167" s="14"/>
      <c r="S167" s="14"/>
      <c r="T167" s="14"/>
      <c r="U167" s="14"/>
      <c r="V167" s="14"/>
      <c r="W167" s="14"/>
      <c r="X167" s="14"/>
      <c r="Y167" s="14"/>
      <c r="Z167" s="14"/>
      <c r="AA167" s="14"/>
      <c r="AB167" s="14"/>
    </row>
    <row r="168" spans="1:28" hidden="1" x14ac:dyDescent="0.25">
      <c r="A168" s="66"/>
      <c r="B168" s="82" t="s">
        <v>201</v>
      </c>
      <c r="D168" s="93">
        <f>IF(6&gt;D74,0,-1/((0.184*ABS(SUM(D78:D83))^3-0.525*(SUM(D78:D83))^2+1.038*ABS(SUM(D78:D83))+1.001)))</f>
        <v>0</v>
      </c>
      <c r="E168" s="82"/>
      <c r="F168" s="76"/>
      <c r="G168" s="14"/>
      <c r="H168" s="14"/>
      <c r="I168" s="14"/>
      <c r="J168" s="14"/>
      <c r="K168" s="14"/>
      <c r="L168" s="14"/>
      <c r="M168" s="14"/>
      <c r="N168" s="14"/>
      <c r="O168" s="14"/>
      <c r="P168" s="14"/>
      <c r="Q168" s="14"/>
      <c r="R168" s="14"/>
      <c r="S168" s="14"/>
      <c r="T168" s="14"/>
      <c r="U168" s="14"/>
      <c r="V168" s="14"/>
      <c r="W168" s="14"/>
      <c r="X168" s="14"/>
      <c r="Y168" s="14"/>
      <c r="Z168" s="14"/>
      <c r="AA168" s="14"/>
      <c r="AB168" s="14"/>
    </row>
    <row r="169" spans="1:28" hidden="1" x14ac:dyDescent="0.25">
      <c r="A169" s="66"/>
      <c r="B169" s="82" t="s">
        <v>202</v>
      </c>
      <c r="D169" s="93">
        <f>IF(6&gt;D74,0,-1/((0.184*ABS(SUM(D78:D84))^3-0.525*(SUM(D78:D84))^2+1.038*ABS(SUM(D78:D84))+1.001)))</f>
        <v>0</v>
      </c>
      <c r="E169" s="82"/>
      <c r="F169" s="76"/>
      <c r="G169" s="14"/>
      <c r="H169" s="14"/>
      <c r="I169" s="14"/>
      <c r="J169" s="14"/>
      <c r="K169" s="14"/>
      <c r="L169" s="14"/>
      <c r="M169" s="14"/>
      <c r="N169" s="14"/>
      <c r="O169" s="14"/>
      <c r="P169" s="14"/>
      <c r="Q169" s="14"/>
      <c r="R169" s="14"/>
      <c r="S169" s="14"/>
      <c r="T169" s="14"/>
      <c r="U169" s="14"/>
      <c r="V169" s="14"/>
      <c r="W169" s="14"/>
      <c r="X169" s="14"/>
      <c r="Y169" s="14"/>
      <c r="Z169" s="14"/>
      <c r="AA169" s="14"/>
      <c r="AB169" s="14"/>
    </row>
    <row r="170" spans="1:28" hidden="1" x14ac:dyDescent="0.25">
      <c r="A170" s="66"/>
      <c r="B170" s="82" t="s">
        <v>203</v>
      </c>
      <c r="D170" s="93">
        <f>IF(6&gt;D74,0,-1/((0.184*ABS(SUM(D78:D85))^3-0.525*(SUM(D78:D85))^2+1.038*ABS(SUM(D78:D85))+1.001)))</f>
        <v>0</v>
      </c>
      <c r="E170" s="82"/>
      <c r="F170" s="76"/>
      <c r="G170" s="14"/>
      <c r="H170" s="14"/>
      <c r="I170" s="14"/>
      <c r="J170" s="14"/>
      <c r="K170" s="14"/>
      <c r="L170" s="14"/>
      <c r="M170" s="14"/>
      <c r="N170" s="14"/>
      <c r="O170" s="14"/>
      <c r="P170" s="14"/>
      <c r="Q170" s="14"/>
      <c r="R170" s="14"/>
      <c r="S170" s="14"/>
      <c r="T170" s="14"/>
      <c r="U170" s="14"/>
      <c r="V170" s="14"/>
      <c r="W170" s="14"/>
      <c r="X170" s="14"/>
      <c r="Y170" s="14"/>
      <c r="Z170" s="14"/>
      <c r="AA170" s="14"/>
      <c r="AB170" s="14"/>
    </row>
    <row r="171" spans="1:28" hidden="1" x14ac:dyDescent="0.25">
      <c r="A171" s="66"/>
      <c r="B171" s="82" t="s">
        <v>204</v>
      </c>
      <c r="D171" s="93">
        <f>IF(6&gt;D74,0,-1/((0.184*ABS(SUM(D78:D86))^3-0.525*(SUM(D78:D86))^2+1.038*ABS(SUM(D78:D86))+1.001)))</f>
        <v>0</v>
      </c>
      <c r="E171" s="82"/>
      <c r="F171" s="76"/>
      <c r="G171" s="14"/>
      <c r="H171" s="14"/>
      <c r="I171" s="14"/>
      <c r="J171" s="14"/>
      <c r="K171" s="14"/>
      <c r="L171" s="14"/>
      <c r="M171" s="14"/>
      <c r="N171" s="14"/>
      <c r="O171" s="14"/>
      <c r="P171" s="14"/>
      <c r="Q171" s="14"/>
      <c r="R171" s="14"/>
      <c r="S171" s="14"/>
      <c r="T171" s="14"/>
      <c r="U171" s="14"/>
      <c r="V171" s="14"/>
      <c r="W171" s="14"/>
      <c r="X171" s="14"/>
      <c r="Y171" s="14"/>
      <c r="Z171" s="14"/>
      <c r="AA171" s="14"/>
      <c r="AB171" s="14"/>
    </row>
    <row r="172" spans="1:28" hidden="1" x14ac:dyDescent="0.25">
      <c r="A172" s="66"/>
      <c r="B172" s="82" t="s">
        <v>205</v>
      </c>
      <c r="D172" s="93">
        <f>IF(6&gt;D74,0,-1/((0.184*ABS(SUM(D78:D87))^3-0.525*(SUM(D78:D87))^2+1.038*ABS(SUM(D78:D87))+1.001)))</f>
        <v>0</v>
      </c>
      <c r="E172" s="82"/>
      <c r="F172" s="76"/>
      <c r="G172" s="14"/>
      <c r="H172" s="14"/>
      <c r="I172" s="14"/>
      <c r="J172" s="14"/>
      <c r="K172" s="14"/>
      <c r="L172" s="14"/>
      <c r="M172" s="14"/>
      <c r="N172" s="14"/>
      <c r="O172" s="14"/>
      <c r="P172" s="14"/>
      <c r="Q172" s="14"/>
      <c r="R172" s="14"/>
      <c r="S172" s="14"/>
      <c r="T172" s="14"/>
      <c r="U172" s="14"/>
      <c r="V172" s="14"/>
      <c r="W172" s="14"/>
      <c r="X172" s="14"/>
      <c r="Y172" s="14"/>
      <c r="Z172" s="14"/>
      <c r="AA172" s="14"/>
      <c r="AB172" s="14"/>
    </row>
    <row r="173" spans="1:28" hidden="1" x14ac:dyDescent="0.25">
      <c r="A173" s="66"/>
      <c r="B173" s="82" t="s">
        <v>206</v>
      </c>
      <c r="D173" s="93">
        <f>IF(6&gt;D74,0,-1/((0.184*ABS(SUM(D78:D88))^3-0.525*(SUM(D78:D88))^2+1.038*ABS(SUM(D78:D88))+1.001)))</f>
        <v>0</v>
      </c>
      <c r="E173" s="82"/>
      <c r="F173" s="76"/>
      <c r="G173" s="14"/>
      <c r="H173" s="14"/>
      <c r="I173" s="14"/>
      <c r="J173" s="14"/>
      <c r="K173" s="14"/>
      <c r="L173" s="14"/>
      <c r="M173" s="14"/>
      <c r="N173" s="14"/>
      <c r="O173" s="14"/>
      <c r="P173" s="14"/>
      <c r="Q173" s="14"/>
      <c r="R173" s="14"/>
      <c r="S173" s="14"/>
      <c r="T173" s="14"/>
      <c r="U173" s="14"/>
      <c r="V173" s="14"/>
      <c r="W173" s="14"/>
      <c r="X173" s="14"/>
      <c r="Y173" s="14"/>
      <c r="Z173" s="14"/>
      <c r="AA173" s="14"/>
      <c r="AB173" s="14"/>
    </row>
    <row r="174" spans="1:28" hidden="1" x14ac:dyDescent="0.25">
      <c r="A174" s="66"/>
      <c r="B174" s="82" t="s">
        <v>207</v>
      </c>
      <c r="D174" s="93">
        <f>IF(7&gt;D74,0,-1/((0.184*ABS(SUM(D78:D89))^3-0.525*(SUM(D78:D89))^2+1.038*ABS(SUM(D78:D89))+1.001)))</f>
        <v>0</v>
      </c>
      <c r="E174" s="82"/>
      <c r="F174" s="76"/>
      <c r="G174" s="14"/>
      <c r="H174" s="14"/>
      <c r="I174" s="14"/>
      <c r="J174" s="14"/>
      <c r="K174" s="14"/>
      <c r="L174" s="14"/>
      <c r="M174" s="14"/>
      <c r="N174" s="14"/>
      <c r="O174" s="14"/>
      <c r="P174" s="14"/>
      <c r="Q174" s="14"/>
      <c r="R174" s="14"/>
      <c r="S174" s="14"/>
      <c r="T174" s="14"/>
      <c r="U174" s="14"/>
      <c r="V174" s="14"/>
      <c r="W174" s="14"/>
      <c r="X174" s="14"/>
      <c r="Y174" s="14"/>
      <c r="Z174" s="14"/>
      <c r="AA174" s="14"/>
      <c r="AB174" s="14"/>
    </row>
    <row r="175" spans="1:28" hidden="1" x14ac:dyDescent="0.25">
      <c r="A175" s="66"/>
      <c r="B175" s="82" t="s">
        <v>208</v>
      </c>
      <c r="D175" s="93">
        <f>IF(8&gt;D74,0,-1/((0.184*ABS(SUM(D78:D90))^3-0.525*(SUM(D78:D90))^2+1.038*ABS(SUM(D78:D90))+1.001)))</f>
        <v>0</v>
      </c>
      <c r="E175" s="82"/>
      <c r="F175" s="76"/>
      <c r="G175" s="14"/>
      <c r="H175" s="14"/>
      <c r="I175" s="14"/>
      <c r="J175" s="14"/>
      <c r="K175" s="14"/>
      <c r="L175" s="14"/>
      <c r="M175" s="14"/>
      <c r="N175" s="14"/>
      <c r="O175" s="14"/>
      <c r="P175" s="14"/>
      <c r="Q175" s="14"/>
      <c r="R175" s="14"/>
      <c r="S175" s="14"/>
      <c r="T175" s="14"/>
      <c r="U175" s="14"/>
      <c r="V175" s="14"/>
      <c r="W175" s="14"/>
      <c r="X175" s="14"/>
      <c r="Y175" s="14"/>
      <c r="Z175" s="14"/>
      <c r="AA175" s="14"/>
      <c r="AB175" s="14"/>
    </row>
    <row r="176" spans="1:28" hidden="1" x14ac:dyDescent="0.25">
      <c r="A176" s="66"/>
      <c r="B176" s="82" t="s">
        <v>209</v>
      </c>
      <c r="D176" s="93">
        <f>IF(7&gt;D74,0,-1/((0.184*ABS(SUM(D77:D83))^3-0.525*(SUM(D77:D83))^2+1.038*ABS(SUM(D77:D83))+1.001)))</f>
        <v>0</v>
      </c>
      <c r="E176" s="82"/>
      <c r="F176" s="76"/>
      <c r="G176" s="14"/>
      <c r="H176" s="14"/>
      <c r="I176" s="14"/>
      <c r="J176" s="14"/>
      <c r="K176" s="14"/>
      <c r="L176" s="14"/>
      <c r="M176" s="14"/>
      <c r="N176" s="14"/>
      <c r="O176" s="14"/>
      <c r="P176" s="14"/>
      <c r="Q176" s="14"/>
      <c r="R176" s="14"/>
      <c r="S176" s="14"/>
      <c r="T176" s="14"/>
      <c r="U176" s="14"/>
      <c r="V176" s="14"/>
      <c r="W176" s="14"/>
      <c r="X176" s="14"/>
      <c r="Y176" s="14"/>
      <c r="Z176" s="14"/>
      <c r="AA176" s="14"/>
      <c r="AB176" s="14"/>
    </row>
    <row r="177" spans="1:28" hidden="1" x14ac:dyDescent="0.25">
      <c r="A177" s="66"/>
      <c r="B177" s="82" t="s">
        <v>210</v>
      </c>
      <c r="D177" s="93">
        <f>IF(7&gt;D74,0,-1/((0.184*ABS(SUM(D77:D84))^3-0.525*(SUM(D77:D84))^2+1.038*ABS(SUM(D77:D84))+1.001)))</f>
        <v>0</v>
      </c>
      <c r="E177" s="82"/>
      <c r="F177" s="76"/>
      <c r="G177" s="14"/>
      <c r="H177" s="14"/>
      <c r="I177" s="14"/>
      <c r="J177" s="14"/>
      <c r="K177" s="14"/>
      <c r="L177" s="14"/>
      <c r="M177" s="14"/>
      <c r="N177" s="14"/>
      <c r="O177" s="14"/>
      <c r="P177" s="14"/>
      <c r="Q177" s="14"/>
      <c r="R177" s="14"/>
      <c r="S177" s="14"/>
      <c r="T177" s="14"/>
      <c r="U177" s="14"/>
      <c r="V177" s="14"/>
      <c r="W177" s="14"/>
      <c r="X177" s="14"/>
      <c r="Y177" s="14"/>
      <c r="Z177" s="14"/>
      <c r="AA177" s="14"/>
      <c r="AB177" s="14"/>
    </row>
    <row r="178" spans="1:28" hidden="1" x14ac:dyDescent="0.25">
      <c r="A178" s="66"/>
      <c r="B178" s="82" t="s">
        <v>211</v>
      </c>
      <c r="D178" s="93">
        <f>IF(7&gt;D74,0,-1/((0.184*ABS(SUM(D77:D85))^3-0.525*(SUM(D77:D85))^2+1.038*ABS(SUM(D77:D85))+1.001)))</f>
        <v>0</v>
      </c>
      <c r="E178" s="82"/>
      <c r="F178" s="76"/>
      <c r="G178" s="14"/>
      <c r="H178" s="14"/>
      <c r="I178" s="14"/>
      <c r="J178" s="14"/>
      <c r="K178" s="14"/>
      <c r="L178" s="14"/>
      <c r="M178" s="14"/>
      <c r="N178" s="14"/>
      <c r="O178" s="14"/>
      <c r="P178" s="14"/>
      <c r="Q178" s="14"/>
      <c r="R178" s="14"/>
      <c r="S178" s="14"/>
      <c r="T178" s="14"/>
      <c r="U178" s="14"/>
      <c r="V178" s="14"/>
      <c r="W178" s="14"/>
      <c r="X178" s="14"/>
      <c r="Y178" s="14"/>
      <c r="Z178" s="14"/>
      <c r="AA178" s="14"/>
      <c r="AB178" s="14"/>
    </row>
    <row r="179" spans="1:28" hidden="1" x14ac:dyDescent="0.25">
      <c r="A179" s="66"/>
      <c r="B179" s="82" t="s">
        <v>212</v>
      </c>
      <c r="D179" s="93">
        <f>IF(7&gt;D74,0,-1/((0.184*ABS(SUM(D77:D86))^3-0.525*(SUM(D77:D86))^2+1.038*ABS(SUM(D77:D86))+1.001)))</f>
        <v>0</v>
      </c>
      <c r="E179" s="82"/>
      <c r="F179" s="76"/>
      <c r="G179" s="14"/>
      <c r="H179" s="14"/>
      <c r="I179" s="14"/>
      <c r="J179" s="14"/>
      <c r="K179" s="14"/>
      <c r="L179" s="14"/>
      <c r="M179" s="14"/>
      <c r="N179" s="14"/>
      <c r="O179" s="14"/>
      <c r="P179" s="14"/>
      <c r="Q179" s="14"/>
      <c r="R179" s="14"/>
      <c r="S179" s="14"/>
      <c r="T179" s="14"/>
      <c r="U179" s="14"/>
      <c r="V179" s="14"/>
      <c r="W179" s="14"/>
      <c r="X179" s="14"/>
      <c r="Y179" s="14"/>
      <c r="Z179" s="14"/>
      <c r="AA179" s="14"/>
      <c r="AB179" s="14"/>
    </row>
    <row r="180" spans="1:28" hidden="1" x14ac:dyDescent="0.25">
      <c r="A180" s="66"/>
      <c r="B180" s="82" t="s">
        <v>213</v>
      </c>
      <c r="D180" s="93">
        <f>IF(7&gt;D74,0,-1/((0.184*ABS(SUM(D77:D87))^3-0.525*(SUM(D77:D87))^2+1.038*ABS(SUM(D77:D87))+1.001)))</f>
        <v>0</v>
      </c>
      <c r="E180" s="82"/>
      <c r="F180" s="76"/>
      <c r="G180" s="14"/>
      <c r="H180" s="14"/>
      <c r="I180" s="14"/>
      <c r="J180" s="14"/>
      <c r="K180" s="14"/>
      <c r="L180" s="14"/>
      <c r="M180" s="14"/>
      <c r="N180" s="14"/>
      <c r="O180" s="14"/>
      <c r="P180" s="14"/>
      <c r="Q180" s="14"/>
      <c r="R180" s="14"/>
      <c r="S180" s="14"/>
      <c r="T180" s="14"/>
      <c r="U180" s="14"/>
      <c r="V180" s="14"/>
      <c r="W180" s="14"/>
      <c r="X180" s="14"/>
      <c r="Y180" s="14"/>
      <c r="Z180" s="14"/>
      <c r="AA180" s="14"/>
      <c r="AB180" s="14"/>
    </row>
    <row r="181" spans="1:28" hidden="1" x14ac:dyDescent="0.25">
      <c r="A181" s="66"/>
      <c r="B181" s="82" t="s">
        <v>214</v>
      </c>
      <c r="D181" s="93">
        <f>IF(7&gt;D74,0,-1/((0.184*ABS(SUM(D77:D88))^3-0.525*(SUM(D77:D88))^2+1.038*ABS(SUM(D77:D88))+1.001)))</f>
        <v>0</v>
      </c>
      <c r="E181" s="82"/>
      <c r="F181" s="76"/>
      <c r="G181" s="14"/>
      <c r="H181" s="14"/>
      <c r="I181" s="14"/>
      <c r="J181" s="14"/>
      <c r="K181" s="14"/>
      <c r="L181" s="14"/>
      <c r="M181" s="14"/>
      <c r="N181" s="14"/>
      <c r="O181" s="14"/>
      <c r="P181" s="14"/>
      <c r="Q181" s="14"/>
      <c r="R181" s="14"/>
      <c r="S181" s="14"/>
      <c r="T181" s="14"/>
      <c r="U181" s="14"/>
      <c r="V181" s="14"/>
      <c r="W181" s="14"/>
      <c r="X181" s="14"/>
      <c r="Y181" s="14"/>
      <c r="Z181" s="14"/>
      <c r="AA181" s="14"/>
      <c r="AB181" s="14"/>
    </row>
    <row r="182" spans="1:28" hidden="1" x14ac:dyDescent="0.25">
      <c r="A182" s="66"/>
      <c r="B182" s="82" t="s">
        <v>215</v>
      </c>
      <c r="D182" s="93">
        <f>IF(7&gt;D74,0,-1/((0.184*ABS(SUM(D77:D89))^3-0.525*(SUM(D77:D89))^2+1.038*ABS(SUM(D77:D89))+1.001)))</f>
        <v>0</v>
      </c>
      <c r="E182" s="82"/>
      <c r="F182" s="76"/>
      <c r="G182" s="14"/>
      <c r="H182" s="14"/>
      <c r="I182" s="14"/>
      <c r="J182" s="14"/>
      <c r="K182" s="14"/>
      <c r="L182" s="14"/>
      <c r="M182" s="14"/>
      <c r="N182" s="14"/>
      <c r="O182" s="14"/>
      <c r="P182" s="14"/>
      <c r="Q182" s="14"/>
      <c r="R182" s="14"/>
      <c r="S182" s="14"/>
      <c r="T182" s="14"/>
      <c r="U182" s="14"/>
      <c r="V182" s="14"/>
      <c r="W182" s="14"/>
      <c r="X182" s="14"/>
      <c r="Y182" s="14"/>
      <c r="Z182" s="14"/>
      <c r="AA182" s="14"/>
      <c r="AB182" s="14"/>
    </row>
    <row r="183" spans="1:28" hidden="1" x14ac:dyDescent="0.25">
      <c r="A183" s="66"/>
      <c r="B183" s="82" t="s">
        <v>216</v>
      </c>
      <c r="D183" s="93">
        <f>IF(8&gt;D74,0,-1/((0.184*ABS(SUM(D77:D90))^3-0.525*(SUM(D77:D90))^2+1.038*ABS(SUM(D77:D90))+1.001)))</f>
        <v>0</v>
      </c>
      <c r="E183" s="82"/>
      <c r="F183" s="76"/>
      <c r="G183" s="14"/>
      <c r="H183" s="14"/>
      <c r="I183" s="14"/>
      <c r="J183" s="14"/>
      <c r="K183" s="14"/>
      <c r="L183" s="14"/>
      <c r="M183" s="14"/>
      <c r="N183" s="14"/>
      <c r="O183" s="14"/>
      <c r="P183" s="14"/>
      <c r="Q183" s="14"/>
      <c r="R183" s="14"/>
      <c r="S183" s="14"/>
      <c r="T183" s="14"/>
      <c r="U183" s="14"/>
      <c r="V183" s="14"/>
      <c r="W183" s="14"/>
      <c r="X183" s="14"/>
      <c r="Y183" s="14"/>
      <c r="Z183" s="14"/>
      <c r="AA183" s="14"/>
      <c r="AB183" s="14"/>
    </row>
    <row r="184" spans="1:28" hidden="1" x14ac:dyDescent="0.25">
      <c r="A184" s="66"/>
      <c r="B184" s="82" t="s">
        <v>217</v>
      </c>
      <c r="D184" s="93">
        <f>IF(8&gt;D74,0,-1/((0.184*ABS(SUM(D76:D84))^3-0.525*(SUM(D76:D84))^2+1.038*ABS(SUM(D76:D84))+1.001)))</f>
        <v>0</v>
      </c>
      <c r="E184" s="82"/>
      <c r="F184" s="76"/>
      <c r="G184" s="14"/>
      <c r="H184" s="14"/>
      <c r="I184" s="14"/>
      <c r="J184" s="14"/>
      <c r="K184" s="14"/>
      <c r="L184" s="14"/>
      <c r="M184" s="14"/>
      <c r="N184" s="14"/>
      <c r="O184" s="14"/>
      <c r="P184" s="14"/>
      <c r="Q184" s="14"/>
      <c r="R184" s="14"/>
      <c r="S184" s="14"/>
      <c r="T184" s="14"/>
      <c r="U184" s="14"/>
      <c r="V184" s="14"/>
      <c r="W184" s="14"/>
      <c r="X184" s="14"/>
      <c r="Y184" s="14"/>
      <c r="Z184" s="14"/>
      <c r="AA184" s="14"/>
      <c r="AB184" s="14"/>
    </row>
    <row r="185" spans="1:28" hidden="1" x14ac:dyDescent="0.25">
      <c r="A185" s="66"/>
      <c r="B185" s="82" t="s">
        <v>218</v>
      </c>
      <c r="D185" s="93">
        <f>IF(8&gt;D74,0,-1/((0.184*ABS(SUM(D76:D85))^3-0.525*(SUM(D76:D85))^2+1.038*ABS(SUM(D76:D85))+1.001)))</f>
        <v>0</v>
      </c>
      <c r="E185" s="82"/>
      <c r="F185" s="76"/>
      <c r="G185" s="14"/>
      <c r="H185" s="14"/>
      <c r="I185" s="14"/>
      <c r="J185" s="14"/>
      <c r="K185" s="14"/>
      <c r="L185" s="14"/>
      <c r="M185" s="14"/>
      <c r="N185" s="14"/>
      <c r="O185" s="14"/>
      <c r="P185" s="14"/>
      <c r="Q185" s="14"/>
      <c r="R185" s="14"/>
      <c r="S185" s="14"/>
      <c r="T185" s="14"/>
      <c r="U185" s="14"/>
      <c r="V185" s="14"/>
      <c r="W185" s="14"/>
      <c r="X185" s="14"/>
      <c r="Y185" s="14"/>
      <c r="Z185" s="14"/>
      <c r="AA185" s="14"/>
      <c r="AB185" s="14"/>
    </row>
    <row r="186" spans="1:28" hidden="1" x14ac:dyDescent="0.25">
      <c r="A186" s="66"/>
      <c r="B186" s="82" t="s">
        <v>219</v>
      </c>
      <c r="D186" s="93">
        <f>IF(8&gt;D74,0,-1/((0.184*ABS(SUM(D76:D86))^3-0.525*(SUM(D76:D86))^2+1.038*ABS(SUM(D76:D86))+1.001)))</f>
        <v>0</v>
      </c>
      <c r="E186" s="82"/>
      <c r="F186" s="76"/>
      <c r="G186" s="14"/>
      <c r="H186" s="14"/>
      <c r="I186" s="14"/>
      <c r="J186" s="14"/>
      <c r="K186" s="14"/>
      <c r="L186" s="14"/>
      <c r="M186" s="14"/>
      <c r="N186" s="14"/>
      <c r="O186" s="14"/>
      <c r="P186" s="14"/>
      <c r="Q186" s="14"/>
      <c r="R186" s="14"/>
      <c r="S186" s="14"/>
      <c r="T186" s="14"/>
      <c r="U186" s="14"/>
      <c r="V186" s="14"/>
      <c r="W186" s="14"/>
      <c r="X186" s="14"/>
      <c r="Y186" s="14"/>
      <c r="Z186" s="14"/>
      <c r="AA186" s="14"/>
      <c r="AB186" s="14"/>
    </row>
    <row r="187" spans="1:28" hidden="1" x14ac:dyDescent="0.25">
      <c r="A187" s="66"/>
      <c r="B187" s="82" t="s">
        <v>220</v>
      </c>
      <c r="D187" s="93">
        <f>IF(8&gt;D74,0,-1/((0.184*ABS(SUM(D76:D87))^3-0.525*(SUM(D76:D87))^2+1.038*ABS(SUM(D76:D87))+1.001)))</f>
        <v>0</v>
      </c>
      <c r="E187" s="82"/>
      <c r="F187" s="76"/>
      <c r="G187" s="14"/>
      <c r="H187" s="14"/>
      <c r="I187" s="14"/>
      <c r="J187" s="14"/>
      <c r="K187" s="14"/>
      <c r="L187" s="14"/>
      <c r="M187" s="14"/>
      <c r="N187" s="14"/>
      <c r="O187" s="14"/>
      <c r="P187" s="14"/>
      <c r="Q187" s="14"/>
      <c r="R187" s="14"/>
      <c r="S187" s="14"/>
      <c r="T187" s="14"/>
      <c r="U187" s="14"/>
      <c r="V187" s="14"/>
      <c r="W187" s="14"/>
      <c r="X187" s="14"/>
      <c r="Y187" s="14"/>
      <c r="Z187" s="14"/>
      <c r="AA187" s="14"/>
      <c r="AB187" s="14"/>
    </row>
    <row r="188" spans="1:28" hidden="1" x14ac:dyDescent="0.25">
      <c r="A188" s="66"/>
      <c r="B188" s="82" t="s">
        <v>221</v>
      </c>
      <c r="D188" s="93">
        <f>IF(8&gt;D74,0,-1/((0.184*ABS(SUM(D76:D88))^3-0.525*(SUM(D76:D88))^2+1.038*ABS(SUM(D76:D88))+1.001)))</f>
        <v>0</v>
      </c>
      <c r="E188" s="82"/>
      <c r="F188" s="76"/>
      <c r="G188" s="14"/>
      <c r="H188" s="14"/>
      <c r="I188" s="14"/>
      <c r="J188" s="14"/>
      <c r="K188" s="14"/>
      <c r="L188" s="14"/>
      <c r="M188" s="14"/>
      <c r="N188" s="14"/>
      <c r="O188" s="14"/>
      <c r="P188" s="14"/>
      <c r="Q188" s="14"/>
      <c r="R188" s="14"/>
      <c r="S188" s="14"/>
      <c r="T188" s="14"/>
      <c r="U188" s="14"/>
      <c r="V188" s="14"/>
      <c r="W188" s="14"/>
      <c r="X188" s="14"/>
      <c r="Y188" s="14"/>
      <c r="Z188" s="14"/>
      <c r="AA188" s="14"/>
      <c r="AB188" s="14"/>
    </row>
    <row r="189" spans="1:28" hidden="1" x14ac:dyDescent="0.25">
      <c r="A189" s="66"/>
      <c r="B189" s="82" t="s">
        <v>222</v>
      </c>
      <c r="D189" s="93">
        <f>IF(8&gt;D74,0,-1/((0.184*ABS(SUM(D76:D89))^3-0.525*(SUM(D76:D89))^2+1.038*ABS(SUM(D76:D89))+1.001)))</f>
        <v>0</v>
      </c>
      <c r="E189" s="82"/>
      <c r="F189" s="76"/>
      <c r="G189" s="14"/>
      <c r="H189" s="14"/>
      <c r="I189" s="14"/>
      <c r="J189" s="14"/>
      <c r="K189" s="14"/>
      <c r="L189" s="14"/>
      <c r="M189" s="14"/>
      <c r="N189" s="14"/>
      <c r="O189" s="14"/>
      <c r="P189" s="14"/>
      <c r="Q189" s="14"/>
      <c r="R189" s="14"/>
      <c r="S189" s="14"/>
      <c r="T189" s="14"/>
      <c r="U189" s="14"/>
      <c r="V189" s="14"/>
      <c r="W189" s="14"/>
      <c r="X189" s="14"/>
      <c r="Y189" s="14"/>
      <c r="Z189" s="14"/>
      <c r="AA189" s="14"/>
      <c r="AB189" s="14"/>
    </row>
    <row r="190" spans="1:28" hidden="1" x14ac:dyDescent="0.25">
      <c r="A190" s="66"/>
      <c r="B190" s="82" t="s">
        <v>223</v>
      </c>
      <c r="D190" s="93">
        <f>IF(8&gt;D74,0,-1/((0.184*ABS(SUM(D76:D90))^3-0.525*(SUM(D76:D90))^2+1.038*ABS(SUM(D76:D90))+1.001)))</f>
        <v>0</v>
      </c>
      <c r="E190" s="82"/>
      <c r="F190" s="76"/>
      <c r="G190" s="14"/>
      <c r="H190" s="14"/>
      <c r="I190" s="14"/>
      <c r="J190" s="14"/>
      <c r="K190" s="14"/>
      <c r="L190" s="14"/>
      <c r="M190" s="14"/>
      <c r="N190" s="14"/>
      <c r="O190" s="14"/>
      <c r="P190" s="14"/>
      <c r="Q190" s="14"/>
      <c r="R190" s="14"/>
      <c r="S190" s="14"/>
      <c r="T190" s="14"/>
      <c r="U190" s="14"/>
      <c r="V190" s="14"/>
      <c r="W190" s="14"/>
      <c r="X190" s="14"/>
      <c r="Y190" s="14"/>
      <c r="Z190" s="14"/>
      <c r="AA190" s="14"/>
      <c r="AB190" s="14"/>
    </row>
    <row r="191" spans="1:28" hidden="1" x14ac:dyDescent="0.25">
      <c r="A191" s="66"/>
      <c r="B191" s="94"/>
      <c r="D191" s="95"/>
      <c r="E191" s="96"/>
      <c r="F191" s="76"/>
      <c r="G191" s="14"/>
      <c r="H191" s="14"/>
      <c r="I191" s="14"/>
      <c r="J191" s="14"/>
      <c r="K191" s="14"/>
      <c r="L191" s="14"/>
      <c r="M191" s="14"/>
      <c r="N191" s="14"/>
      <c r="O191" s="14"/>
      <c r="P191" s="14"/>
      <c r="Q191" s="14"/>
      <c r="R191" s="14"/>
      <c r="S191" s="14"/>
      <c r="T191" s="14"/>
      <c r="U191" s="14"/>
      <c r="V191" s="14"/>
      <c r="W191" s="14"/>
      <c r="X191" s="14"/>
      <c r="Y191" s="14"/>
      <c r="Z191" s="14"/>
      <c r="AA191" s="14"/>
      <c r="AB191" s="14"/>
    </row>
    <row r="192" spans="1:28" hidden="1" x14ac:dyDescent="0.25">
      <c r="A192" s="66"/>
      <c r="B192" s="94" t="s">
        <v>224</v>
      </c>
      <c r="D192" s="95">
        <f>D195</f>
        <v>0.53321441816790027</v>
      </c>
      <c r="E192" s="80" t="s">
        <v>225</v>
      </c>
      <c r="F192" s="76"/>
      <c r="G192" s="14"/>
      <c r="H192" s="14"/>
      <c r="I192" s="14"/>
      <c r="J192" s="14"/>
      <c r="K192" s="14"/>
      <c r="L192" s="14"/>
      <c r="M192" s="14"/>
      <c r="N192" s="14"/>
      <c r="O192" s="14"/>
      <c r="P192" s="14"/>
      <c r="Q192" s="14"/>
      <c r="R192" s="14"/>
      <c r="S192" s="14"/>
      <c r="T192" s="14"/>
      <c r="U192" s="14"/>
      <c r="V192" s="14"/>
      <c r="W192" s="14"/>
      <c r="X192" s="14"/>
      <c r="Y192" s="14"/>
      <c r="Z192" s="14"/>
      <c r="AA192" s="14"/>
      <c r="AB192" s="14"/>
    </row>
    <row r="193" spans="1:28" hidden="1" x14ac:dyDescent="0.25">
      <c r="A193" s="66"/>
      <c r="B193" s="94" t="s">
        <v>226</v>
      </c>
      <c r="D193" s="95">
        <f>D97</f>
        <v>0.52653968703797327</v>
      </c>
      <c r="E193" s="80" t="s">
        <v>225</v>
      </c>
      <c r="F193" s="76"/>
      <c r="G193" s="14"/>
      <c r="H193" s="14"/>
      <c r="I193" s="14"/>
      <c r="J193" s="14"/>
      <c r="K193" s="14"/>
      <c r="L193" s="14"/>
      <c r="M193" s="14"/>
      <c r="N193" s="14"/>
      <c r="O193" s="14"/>
      <c r="P193" s="14"/>
      <c r="Q193" s="14"/>
      <c r="R193" s="14"/>
      <c r="S193" s="14"/>
      <c r="T193" s="14"/>
      <c r="U193" s="14"/>
      <c r="V193" s="14"/>
      <c r="W193" s="14"/>
      <c r="X193" s="14"/>
      <c r="Y193" s="14"/>
      <c r="Z193" s="14"/>
      <c r="AA193" s="14"/>
      <c r="AB193" s="14"/>
    </row>
    <row r="194" spans="1:28" hidden="1" x14ac:dyDescent="0.25">
      <c r="A194" s="66"/>
      <c r="B194" s="67"/>
      <c r="C194" s="68"/>
      <c r="D194" s="200"/>
      <c r="E194" s="32"/>
      <c r="F194" s="76"/>
      <c r="G194" s="14"/>
      <c r="H194" s="14"/>
      <c r="I194" s="14"/>
      <c r="J194" s="14"/>
      <c r="K194" s="14"/>
      <c r="L194" s="14"/>
      <c r="M194" s="14"/>
      <c r="N194" s="14"/>
      <c r="O194" s="14"/>
      <c r="P194" s="14"/>
      <c r="Q194" s="14"/>
      <c r="R194" s="14"/>
      <c r="S194" s="14"/>
      <c r="T194" s="14"/>
      <c r="U194" s="14"/>
      <c r="V194" s="14"/>
      <c r="W194" s="14"/>
      <c r="X194" s="14"/>
      <c r="Y194" s="14"/>
      <c r="Z194" s="14"/>
      <c r="AA194" s="14"/>
      <c r="AB194" s="14"/>
    </row>
    <row r="195" spans="1:28" ht="19.5" x14ac:dyDescent="0.35">
      <c r="A195" s="66"/>
      <c r="B195" s="97" t="s">
        <v>227</v>
      </c>
      <c r="C195" s="68" t="s">
        <v>228</v>
      </c>
      <c r="D195" s="98">
        <f>D94</f>
        <v>0.53321441816790027</v>
      </c>
      <c r="E195" s="99" t="s">
        <v>229</v>
      </c>
      <c r="F195" s="100" t="str">
        <f>IF(D195="Error","Too many turns or outer diameter too small!","")</f>
        <v/>
      </c>
      <c r="G195" s="14"/>
      <c r="H195" s="14"/>
      <c r="I195" s="14"/>
      <c r="J195" s="14"/>
      <c r="K195" s="14"/>
      <c r="L195" s="14"/>
      <c r="M195" s="14"/>
      <c r="N195" s="14"/>
      <c r="O195" s="14"/>
      <c r="P195" s="14"/>
      <c r="Q195" s="14"/>
      <c r="R195" s="14"/>
      <c r="S195" s="14"/>
      <c r="T195" s="14"/>
      <c r="U195" s="14"/>
      <c r="V195" s="14"/>
      <c r="W195" s="14"/>
      <c r="X195" s="14"/>
      <c r="Y195" s="14"/>
      <c r="Z195" s="14"/>
      <c r="AA195" s="14"/>
      <c r="AB195" s="14"/>
    </row>
    <row r="196" spans="1:28" ht="15.75" hidden="1" x14ac:dyDescent="0.25">
      <c r="A196" s="66"/>
      <c r="B196" s="97" t="s">
        <v>230</v>
      </c>
      <c r="C196" s="68"/>
      <c r="D196" s="101">
        <f>IF(D20="LDC0851",SQRT(2)/(2*PI()*SQRT(D195*0.000001*(D22+D52)*0.000000000001)),1/(2*PI()*SQRT(D195*0.000001*(D22+D52)*0.000000000001)))</f>
        <v>10843725.293131115</v>
      </c>
      <c r="E196" s="99" t="s">
        <v>231</v>
      </c>
      <c r="F196" s="102"/>
      <c r="G196" s="14"/>
      <c r="H196" s="14"/>
      <c r="I196" s="14"/>
      <c r="J196" s="14"/>
      <c r="K196" s="14"/>
      <c r="L196" s="14"/>
      <c r="M196" s="14"/>
      <c r="N196" s="14"/>
      <c r="O196" s="14"/>
      <c r="P196" s="14"/>
      <c r="Q196" s="14"/>
      <c r="R196" s="14"/>
      <c r="S196" s="14"/>
      <c r="T196" s="14"/>
      <c r="U196" s="14"/>
      <c r="V196" s="14"/>
      <c r="W196" s="14"/>
      <c r="X196" s="14"/>
      <c r="Y196" s="14"/>
      <c r="Z196" s="14"/>
      <c r="AA196" s="14"/>
      <c r="AB196" s="14"/>
    </row>
    <row r="197" spans="1:28" ht="19.5" x14ac:dyDescent="0.35">
      <c r="A197" s="66"/>
      <c r="B197" s="97" t="s">
        <v>232</v>
      </c>
      <c r="C197" s="68" t="s">
        <v>233</v>
      </c>
      <c r="D197" s="98">
        <f>IF(D196&gt;300000,D196/1000000,D196/1000)</f>
        <v>10.843725293131115</v>
      </c>
      <c r="E197" s="103" t="str">
        <f>IF(D196&gt;300000,"MHz","kHz")</f>
        <v>MHz</v>
      </c>
      <c r="F197" s="102" t="str">
        <f>IF(ISERROR(D197),"",IF(D197&gt;(D207*1000),"Sensor Frequency is too high, reduce C",""))</f>
        <v/>
      </c>
      <c r="G197" s="14"/>
      <c r="H197" s="14"/>
      <c r="I197" s="14"/>
      <c r="J197" s="14"/>
      <c r="K197" s="14"/>
      <c r="L197" s="14"/>
      <c r="M197" s="14"/>
      <c r="N197" s="14"/>
      <c r="O197" s="14"/>
      <c r="P197" s="14"/>
      <c r="Q197" s="14"/>
      <c r="R197" s="14"/>
      <c r="S197" s="14"/>
      <c r="T197" s="14"/>
      <c r="U197" s="14"/>
      <c r="V197" s="14"/>
      <c r="W197" s="14"/>
      <c r="X197" s="14"/>
      <c r="Y197" s="14"/>
      <c r="Z197" s="14"/>
      <c r="AA197" s="14"/>
      <c r="AB197" s="14"/>
    </row>
    <row r="198" spans="1:28" hidden="1" x14ac:dyDescent="0.25">
      <c r="A198" s="66"/>
      <c r="B198" s="104" t="s">
        <v>234</v>
      </c>
      <c r="C198" s="105" t="s">
        <v>235</v>
      </c>
      <c r="D198" s="106">
        <f>D24*(D31-1)*2*D27+PI()*D24*(D27+D57)/2</f>
        <v>74.593975966836041</v>
      </c>
      <c r="E198" s="107" t="s">
        <v>19</v>
      </c>
      <c r="F198" s="65"/>
      <c r="G198" s="14"/>
      <c r="H198" s="14"/>
      <c r="I198" s="14"/>
      <c r="J198" s="14"/>
      <c r="K198" s="14"/>
      <c r="L198" s="14"/>
      <c r="M198" s="14"/>
      <c r="N198" s="14"/>
      <c r="O198" s="14"/>
      <c r="P198" s="14"/>
      <c r="Q198" s="14"/>
      <c r="R198" s="14"/>
      <c r="S198" s="14"/>
      <c r="T198" s="14"/>
      <c r="U198" s="14"/>
      <c r="V198" s="14"/>
      <c r="W198" s="14"/>
      <c r="X198" s="14"/>
      <c r="Y198" s="14"/>
      <c r="Z198" s="14"/>
      <c r="AA198" s="14"/>
      <c r="AB198" s="14"/>
    </row>
    <row r="199" spans="1:28" hidden="1" x14ac:dyDescent="0.25">
      <c r="A199" s="66"/>
      <c r="B199" s="108" t="s">
        <v>236</v>
      </c>
      <c r="C199" s="109" t="s">
        <v>237</v>
      </c>
      <c r="D199" s="110">
        <f>D53*D198*0.001*D23/(D38*0.001*D48*0.001)</f>
        <v>0.57991048564252301</v>
      </c>
      <c r="E199" s="111" t="s">
        <v>238</v>
      </c>
      <c r="F199" s="65"/>
      <c r="G199" s="14"/>
      <c r="H199" s="14"/>
      <c r="I199" s="14"/>
      <c r="J199" s="14"/>
      <c r="K199" s="14"/>
      <c r="L199" s="14"/>
      <c r="M199" s="14"/>
      <c r="N199" s="14"/>
      <c r="O199" s="14"/>
      <c r="P199" s="14"/>
      <c r="Q199" s="14"/>
      <c r="R199" s="14"/>
      <c r="S199" s="14"/>
      <c r="T199" s="14"/>
      <c r="U199" s="14"/>
      <c r="V199" s="14"/>
      <c r="W199" s="14"/>
      <c r="X199" s="14"/>
      <c r="Y199" s="14"/>
      <c r="Z199" s="14"/>
      <c r="AA199" s="14"/>
      <c r="AB199" s="14"/>
    </row>
    <row r="200" spans="1:28" hidden="1" x14ac:dyDescent="0.25">
      <c r="A200" s="66"/>
      <c r="B200" s="108" t="s">
        <v>239</v>
      </c>
      <c r="C200" s="109" t="s">
        <v>240</v>
      </c>
      <c r="D200" s="112">
        <f>SQRT(D49/(4*PI()*PI()*0.0000001*D51*D196))*1000</f>
        <v>1.9810047597984846E-2</v>
      </c>
      <c r="E200" s="113" t="s">
        <v>19</v>
      </c>
      <c r="F200" s="65"/>
      <c r="G200" s="14"/>
      <c r="H200" s="14"/>
      <c r="I200" s="14"/>
      <c r="J200" s="14"/>
      <c r="K200" s="14"/>
      <c r="L200" s="14"/>
      <c r="M200" s="14"/>
      <c r="N200" s="14"/>
      <c r="O200" s="14"/>
      <c r="P200" s="14"/>
      <c r="Q200" s="14"/>
      <c r="R200" s="14"/>
      <c r="S200" s="14"/>
      <c r="T200" s="14"/>
      <c r="U200" s="14"/>
      <c r="V200" s="14"/>
      <c r="W200" s="14"/>
      <c r="X200" s="14"/>
      <c r="Y200" s="14"/>
      <c r="Z200" s="14"/>
      <c r="AA200" s="14"/>
      <c r="AB200" s="14"/>
    </row>
    <row r="201" spans="1:28" hidden="1" x14ac:dyDescent="0.25">
      <c r="A201" s="66"/>
      <c r="B201" s="114" t="s">
        <v>241</v>
      </c>
      <c r="C201" s="109" t="s">
        <v>242</v>
      </c>
      <c r="D201" s="115">
        <f>D199*D48/(D200*(1-EXP(-D48/D200)))</f>
        <v>1.2290136552900324</v>
      </c>
      <c r="E201" s="116" t="s">
        <v>238</v>
      </c>
      <c r="F201" s="65"/>
      <c r="G201" s="14"/>
      <c r="H201" s="14"/>
      <c r="I201" s="14"/>
      <c r="J201" s="14"/>
      <c r="K201" s="14"/>
      <c r="L201" s="14"/>
      <c r="M201" s="14"/>
      <c r="N201" s="14"/>
      <c r="O201" s="14"/>
      <c r="P201" s="14"/>
      <c r="Q201" s="14"/>
      <c r="R201" s="14"/>
      <c r="S201" s="14"/>
      <c r="T201" s="14"/>
      <c r="U201" s="14"/>
      <c r="V201" s="14"/>
      <c r="W201" s="14"/>
      <c r="X201" s="14"/>
      <c r="Y201" s="14"/>
      <c r="Z201" s="14"/>
      <c r="AA201" s="14"/>
      <c r="AB201" s="14"/>
    </row>
    <row r="202" spans="1:28" hidden="1" x14ac:dyDescent="0.25">
      <c r="A202" s="66"/>
      <c r="B202" s="117" t="s">
        <v>243</v>
      </c>
      <c r="C202" s="118" t="s">
        <v>244</v>
      </c>
      <c r="D202" s="119">
        <f>(1/D201)*(D195*0.000001/(D22*0.000000000001))</f>
        <v>1084.6389213675338</v>
      </c>
      <c r="E202" s="120" t="s">
        <v>238</v>
      </c>
      <c r="F202" s="65"/>
      <c r="G202" s="14"/>
      <c r="H202" s="14"/>
      <c r="I202" s="14"/>
      <c r="J202" s="14"/>
      <c r="K202" s="14"/>
      <c r="L202" s="14"/>
      <c r="M202" s="14"/>
      <c r="N202" s="14"/>
      <c r="O202" s="14"/>
      <c r="P202" s="14"/>
      <c r="Q202" s="14"/>
      <c r="R202" s="14"/>
      <c r="S202" s="14"/>
      <c r="T202" s="14"/>
      <c r="U202" s="14"/>
      <c r="V202" s="14"/>
      <c r="W202" s="14"/>
      <c r="X202" s="14"/>
      <c r="Y202" s="14"/>
      <c r="Z202" s="14"/>
      <c r="AA202" s="14"/>
      <c r="AB202" s="14"/>
    </row>
    <row r="203" spans="1:28" ht="18" x14ac:dyDescent="0.35">
      <c r="A203" s="66"/>
      <c r="B203" s="121" t="s">
        <v>245</v>
      </c>
      <c r="C203" s="118" t="s">
        <v>246</v>
      </c>
      <c r="D203" s="122">
        <f>D202/1000</f>
        <v>1.0846389213675338</v>
      </c>
      <c r="E203" s="123" t="s">
        <v>247</v>
      </c>
      <c r="F203" s="65"/>
      <c r="G203" s="14"/>
      <c r="H203" s="14"/>
      <c r="I203" s="14"/>
      <c r="J203" s="14"/>
      <c r="K203" s="14"/>
      <c r="L203" s="14"/>
      <c r="M203" s="14"/>
      <c r="N203" s="14"/>
      <c r="O203" s="14"/>
      <c r="P203" s="14"/>
      <c r="Q203" s="14"/>
      <c r="R203" s="14"/>
      <c r="S203" s="14"/>
      <c r="T203" s="14"/>
      <c r="U203" s="14"/>
      <c r="V203" s="14"/>
      <c r="W203" s="14"/>
      <c r="X203" s="14"/>
      <c r="Y203" s="14"/>
      <c r="Z203" s="14"/>
      <c r="AA203" s="14"/>
      <c r="AB203" s="14"/>
    </row>
    <row r="204" spans="1:28" ht="15.75" x14ac:dyDescent="0.25">
      <c r="A204" s="66"/>
      <c r="B204" s="97" t="s">
        <v>248</v>
      </c>
      <c r="C204" s="68" t="s">
        <v>249</v>
      </c>
      <c r="D204" s="122">
        <f>(1/D201)*SQRT(D195*0.000001/((D22+D52)*0.000000000001))</f>
        <v>29.559940211863918</v>
      </c>
      <c r="E204" s="32"/>
      <c r="F204" s="65"/>
      <c r="G204" s="14"/>
      <c r="H204" s="14"/>
      <c r="I204" s="14"/>
      <c r="J204" s="14"/>
      <c r="K204" s="14"/>
      <c r="L204" s="14"/>
      <c r="M204" s="14"/>
      <c r="N204" s="14"/>
      <c r="O204" s="14"/>
      <c r="P204" s="14"/>
      <c r="Q204" s="14"/>
      <c r="R204" s="14"/>
      <c r="S204" s="14"/>
      <c r="T204" s="14"/>
      <c r="U204" s="14"/>
      <c r="V204" s="14"/>
      <c r="W204" s="14"/>
      <c r="X204" s="14"/>
      <c r="Y204" s="14"/>
      <c r="Z204" s="14"/>
      <c r="AA204" s="14"/>
      <c r="AB204" s="14"/>
    </row>
    <row r="205" spans="1:28" ht="15.75" x14ac:dyDescent="0.25">
      <c r="A205" s="66"/>
      <c r="B205" s="97"/>
      <c r="C205" s="68"/>
      <c r="D205" s="122"/>
      <c r="E205" s="32"/>
      <c r="F205" s="65"/>
      <c r="G205" s="14"/>
      <c r="H205" s="14"/>
      <c r="I205" s="14"/>
      <c r="J205" s="14"/>
      <c r="K205" s="14"/>
      <c r="L205" s="14"/>
      <c r="M205" s="14"/>
      <c r="N205" s="14"/>
      <c r="O205" s="14"/>
      <c r="P205" s="14"/>
      <c r="Q205" s="14"/>
      <c r="R205" s="14"/>
      <c r="S205" s="14"/>
      <c r="T205" s="14"/>
      <c r="U205" s="14"/>
      <c r="V205" s="14"/>
      <c r="W205" s="14"/>
      <c r="X205" s="14"/>
      <c r="Y205" s="14"/>
      <c r="Z205" s="14"/>
      <c r="AA205" s="14"/>
      <c r="AB205" s="14"/>
    </row>
    <row r="206" spans="1:28" ht="15.75" x14ac:dyDescent="0.25">
      <c r="A206" s="66"/>
      <c r="C206" s="68"/>
      <c r="D206" s="122"/>
      <c r="E206" s="32"/>
      <c r="F206" s="65"/>
      <c r="G206" s="14"/>
      <c r="H206" s="14"/>
      <c r="I206" s="14"/>
      <c r="J206" s="14"/>
      <c r="K206" s="14"/>
      <c r="L206" s="14"/>
      <c r="M206" s="14"/>
      <c r="N206" s="14"/>
      <c r="O206" s="14"/>
      <c r="P206" s="14"/>
      <c r="Q206" s="14"/>
      <c r="R206" s="14"/>
      <c r="S206" s="14"/>
      <c r="T206" s="14"/>
      <c r="U206" s="14"/>
      <c r="V206" s="14"/>
      <c r="W206" s="14"/>
      <c r="X206" s="14"/>
      <c r="Y206" s="14"/>
      <c r="Z206" s="14"/>
      <c r="AA206" s="14"/>
      <c r="AB206" s="14"/>
    </row>
    <row r="207" spans="1:28" x14ac:dyDescent="0.25">
      <c r="A207" s="66"/>
      <c r="B207" s="117" t="s">
        <v>250</v>
      </c>
      <c r="C207" s="68" t="s">
        <v>251</v>
      </c>
      <c r="D207" s="75">
        <f>1/(2*PI()*SQRT(D195*0.000001*D52*0.000000000001))/1000000</f>
        <v>108.97809046557038</v>
      </c>
      <c r="E207" s="32" t="s">
        <v>252</v>
      </c>
      <c r="F207" s="65" t="s">
        <v>253</v>
      </c>
      <c r="G207" s="14"/>
      <c r="H207" s="14"/>
      <c r="I207" s="14"/>
      <c r="J207" s="14"/>
      <c r="K207" s="14"/>
      <c r="L207" s="14"/>
      <c r="M207" s="14"/>
      <c r="N207" s="14"/>
      <c r="O207" s="14"/>
      <c r="P207" s="14"/>
      <c r="Q207" s="14"/>
      <c r="R207" s="14"/>
      <c r="S207" s="14"/>
      <c r="T207" s="14"/>
      <c r="U207" s="14"/>
      <c r="V207" s="14"/>
      <c r="W207" s="14"/>
      <c r="X207" s="14"/>
      <c r="Y207" s="14"/>
      <c r="Z207" s="14"/>
      <c r="AA207" s="14"/>
      <c r="AB207" s="14"/>
    </row>
    <row r="208" spans="1:28" x14ac:dyDescent="0.25">
      <c r="A208" s="66"/>
      <c r="B208" s="97" t="s">
        <v>299</v>
      </c>
      <c r="C208" s="68"/>
      <c r="D208" s="176" t="s">
        <v>302</v>
      </c>
      <c r="E208" s="32"/>
      <c r="F208" s="65" t="s">
        <v>311</v>
      </c>
      <c r="G208" s="14"/>
      <c r="H208" s="14"/>
      <c r="I208" s="14"/>
      <c r="J208" s="14"/>
      <c r="K208" s="14"/>
      <c r="L208" s="14"/>
      <c r="M208" s="14"/>
      <c r="N208" s="14"/>
      <c r="O208" s="14"/>
      <c r="P208" s="14"/>
      <c r="Q208" s="14"/>
      <c r="R208" s="14"/>
      <c r="S208" s="14"/>
      <c r="T208" s="14"/>
      <c r="U208" s="14"/>
      <c r="V208" s="14"/>
      <c r="W208" s="14"/>
      <c r="X208" s="14"/>
      <c r="Y208" s="14"/>
      <c r="Z208" s="14"/>
      <c r="AA208" s="14"/>
      <c r="AB208" s="14"/>
    </row>
    <row r="209" spans="1:28" hidden="1" x14ac:dyDescent="0.25">
      <c r="A209" s="66"/>
      <c r="B209" s="97"/>
      <c r="C209" s="68"/>
      <c r="D209" s="179" t="s">
        <v>309</v>
      </c>
      <c r="E209" s="32"/>
      <c r="F209" s="65"/>
      <c r="G209" s="14"/>
      <c r="H209" s="14"/>
      <c r="I209" s="14"/>
      <c r="J209" s="14"/>
      <c r="K209" s="14"/>
      <c r="L209" s="14"/>
      <c r="M209" s="14"/>
      <c r="N209" s="14"/>
      <c r="O209" s="14"/>
      <c r="P209" s="14"/>
      <c r="Q209" s="14"/>
      <c r="R209" s="14"/>
      <c r="S209" s="14"/>
      <c r="T209" s="14"/>
      <c r="U209" s="14"/>
      <c r="V209" s="14"/>
      <c r="W209" s="14"/>
      <c r="X209" s="14"/>
      <c r="Y209" s="14"/>
      <c r="Z209" s="14"/>
      <c r="AA209" s="14"/>
      <c r="AB209" s="14"/>
    </row>
    <row r="210" spans="1:28" hidden="1" x14ac:dyDescent="0.25">
      <c r="A210" s="66"/>
      <c r="B210" s="97"/>
      <c r="C210" s="68"/>
      <c r="D210" s="145" t="s">
        <v>306</v>
      </c>
      <c r="E210" s="32"/>
      <c r="F210" s="65"/>
      <c r="G210" s="14"/>
      <c r="H210" s="14"/>
      <c r="I210" s="14"/>
      <c r="J210" s="14"/>
      <c r="K210" s="14"/>
      <c r="L210" s="14"/>
      <c r="M210" s="14"/>
      <c r="N210" s="14"/>
      <c r="O210" s="14"/>
      <c r="P210" s="14"/>
      <c r="Q210" s="14"/>
      <c r="R210" s="14"/>
      <c r="S210" s="14"/>
      <c r="T210" s="14"/>
      <c r="U210" s="14"/>
      <c r="V210" s="14"/>
      <c r="W210" s="14"/>
      <c r="X210" s="14"/>
      <c r="Y210" s="14"/>
      <c r="Z210" s="14"/>
      <c r="AA210" s="14"/>
      <c r="AB210" s="14"/>
    </row>
    <row r="211" spans="1:28" hidden="1" x14ac:dyDescent="0.25">
      <c r="A211" s="66"/>
      <c r="B211" s="97"/>
      <c r="C211" s="68"/>
      <c r="D211" s="145" t="s">
        <v>304</v>
      </c>
      <c r="E211" s="32"/>
      <c r="F211" s="65"/>
      <c r="G211" s="14"/>
      <c r="H211" s="14"/>
      <c r="I211" s="14"/>
      <c r="J211" s="14"/>
      <c r="K211" s="14"/>
      <c r="L211" s="14"/>
      <c r="M211" s="14"/>
      <c r="N211" s="14"/>
      <c r="O211" s="14"/>
      <c r="P211" s="14"/>
      <c r="Q211" s="14"/>
      <c r="R211" s="14"/>
      <c r="S211" s="14"/>
      <c r="T211" s="14"/>
      <c r="U211" s="14"/>
      <c r="V211" s="14"/>
      <c r="W211" s="14"/>
      <c r="X211" s="14"/>
      <c r="Y211" s="14"/>
      <c r="Z211" s="14"/>
      <c r="AA211" s="14"/>
      <c r="AB211" s="14"/>
    </row>
    <row r="212" spans="1:28" hidden="1" x14ac:dyDescent="0.25">
      <c r="A212" s="66"/>
      <c r="B212" s="97"/>
      <c r="C212" s="68"/>
      <c r="D212" s="145" t="s">
        <v>303</v>
      </c>
      <c r="E212" s="32"/>
      <c r="F212" s="65"/>
      <c r="G212" s="14"/>
      <c r="H212" s="14"/>
      <c r="I212" s="14"/>
      <c r="J212" s="14"/>
      <c r="K212" s="14"/>
      <c r="L212" s="14"/>
      <c r="M212" s="14"/>
      <c r="N212" s="14"/>
      <c r="O212" s="14"/>
      <c r="P212" s="14"/>
      <c r="Q212" s="14"/>
      <c r="R212" s="14"/>
      <c r="S212" s="14"/>
      <c r="T212" s="14"/>
      <c r="U212" s="14"/>
      <c r="V212" s="14"/>
      <c r="W212" s="14"/>
      <c r="X212" s="14"/>
      <c r="Y212" s="14"/>
      <c r="Z212" s="14"/>
      <c r="AA212" s="14"/>
      <c r="AB212" s="14"/>
    </row>
    <row r="213" spans="1:28" hidden="1" x14ac:dyDescent="0.25">
      <c r="A213" s="66"/>
      <c r="B213" s="97"/>
      <c r="C213" s="68"/>
      <c r="D213" s="145" t="s">
        <v>348</v>
      </c>
      <c r="E213" s="32"/>
      <c r="F213" s="65"/>
      <c r="G213" s="14"/>
      <c r="H213" s="14"/>
      <c r="I213" s="14"/>
      <c r="J213" s="14"/>
      <c r="K213" s="14"/>
      <c r="L213" s="14"/>
      <c r="M213" s="14"/>
      <c r="N213" s="14"/>
      <c r="O213" s="14"/>
      <c r="P213" s="14"/>
      <c r="Q213" s="14"/>
      <c r="R213" s="14"/>
      <c r="S213" s="14"/>
      <c r="T213" s="14"/>
      <c r="U213" s="14"/>
      <c r="V213" s="14"/>
      <c r="W213" s="14"/>
      <c r="X213" s="14"/>
      <c r="Y213" s="14"/>
      <c r="Z213" s="14"/>
      <c r="AA213" s="14"/>
      <c r="AB213" s="14"/>
    </row>
    <row r="214" spans="1:28" hidden="1" x14ac:dyDescent="0.25">
      <c r="A214" s="66"/>
      <c r="B214" s="97"/>
      <c r="C214" s="68"/>
      <c r="D214" s="145" t="s">
        <v>307</v>
      </c>
      <c r="E214" s="32"/>
      <c r="F214" s="65"/>
      <c r="G214" s="14"/>
      <c r="H214" s="14"/>
      <c r="I214" s="14"/>
      <c r="J214" s="14"/>
      <c r="K214" s="14"/>
      <c r="L214" s="14"/>
      <c r="M214" s="14"/>
      <c r="N214" s="14"/>
      <c r="O214" s="14"/>
      <c r="P214" s="14"/>
      <c r="Q214" s="14"/>
      <c r="R214" s="14"/>
      <c r="S214" s="14"/>
      <c r="T214" s="14"/>
      <c r="U214" s="14"/>
      <c r="V214" s="14"/>
      <c r="W214" s="14"/>
      <c r="X214" s="14"/>
      <c r="Y214" s="14"/>
      <c r="Z214" s="14"/>
      <c r="AA214" s="14"/>
      <c r="AB214" s="14"/>
    </row>
    <row r="215" spans="1:28" hidden="1" x14ac:dyDescent="0.25">
      <c r="A215" s="66"/>
      <c r="B215" s="97"/>
      <c r="C215" s="68"/>
      <c r="D215" s="145" t="s">
        <v>310</v>
      </c>
      <c r="E215" s="32"/>
      <c r="F215" s="65"/>
      <c r="G215" s="14"/>
      <c r="H215" s="14"/>
      <c r="I215" s="14"/>
      <c r="J215" s="14"/>
      <c r="K215" s="14"/>
      <c r="L215" s="14"/>
      <c r="M215" s="14"/>
      <c r="N215" s="14"/>
      <c r="O215" s="14"/>
      <c r="P215" s="14"/>
      <c r="Q215" s="14"/>
      <c r="R215" s="14"/>
      <c r="S215" s="14"/>
      <c r="T215" s="14"/>
      <c r="U215" s="14"/>
      <c r="V215" s="14"/>
      <c r="W215" s="14"/>
      <c r="X215" s="14"/>
      <c r="Y215" s="14"/>
      <c r="Z215" s="14"/>
      <c r="AA215" s="14"/>
      <c r="AB215" s="14"/>
    </row>
    <row r="216" spans="1:28" hidden="1" x14ac:dyDescent="0.25">
      <c r="A216" s="66"/>
      <c r="B216" s="97"/>
      <c r="C216" s="68"/>
      <c r="D216" s="145" t="s">
        <v>302</v>
      </c>
      <c r="E216" s="32"/>
      <c r="F216" s="65"/>
      <c r="G216" s="14"/>
      <c r="H216" s="14"/>
      <c r="I216" s="14"/>
      <c r="J216" s="14"/>
      <c r="K216" s="14"/>
      <c r="L216" s="14"/>
      <c r="M216" s="14"/>
      <c r="N216" s="14"/>
      <c r="O216" s="14"/>
      <c r="P216" s="14"/>
      <c r="Q216" s="14"/>
      <c r="R216" s="14"/>
      <c r="S216" s="14"/>
      <c r="T216" s="14"/>
      <c r="U216" s="14"/>
      <c r="V216" s="14"/>
      <c r="W216" s="14"/>
      <c r="X216" s="14"/>
      <c r="Y216" s="14"/>
      <c r="Z216" s="14"/>
      <c r="AA216" s="14"/>
      <c r="AB216" s="14"/>
    </row>
    <row r="217" spans="1:28" hidden="1" x14ac:dyDescent="0.25">
      <c r="A217" s="66"/>
      <c r="B217" s="97"/>
      <c r="C217" s="68"/>
      <c r="D217" s="145" t="s">
        <v>301</v>
      </c>
      <c r="E217" s="32"/>
      <c r="F217" s="65"/>
      <c r="G217" s="14"/>
      <c r="H217" s="14"/>
      <c r="I217" s="14"/>
      <c r="J217" s="14"/>
      <c r="K217" s="14"/>
      <c r="L217" s="14"/>
      <c r="M217" s="14"/>
      <c r="N217" s="14"/>
      <c r="O217" s="14"/>
      <c r="P217" s="14"/>
      <c r="Q217" s="14"/>
      <c r="R217" s="14"/>
      <c r="S217" s="14"/>
      <c r="T217" s="14"/>
      <c r="U217" s="14"/>
      <c r="V217" s="14"/>
      <c r="W217" s="14"/>
      <c r="X217" s="14"/>
      <c r="Y217" s="14"/>
      <c r="Z217" s="14"/>
      <c r="AA217" s="14"/>
      <c r="AB217" s="14"/>
    </row>
    <row r="218" spans="1:28" hidden="1" x14ac:dyDescent="0.25">
      <c r="A218" s="66"/>
      <c r="B218" s="97"/>
      <c r="C218" s="68"/>
      <c r="D218" s="145" t="s">
        <v>305</v>
      </c>
      <c r="E218" s="32"/>
      <c r="F218" s="65"/>
      <c r="G218" s="14"/>
      <c r="H218" s="14"/>
      <c r="I218" s="14"/>
      <c r="J218" s="14"/>
      <c r="K218" s="14"/>
      <c r="L218" s="14"/>
      <c r="M218" s="14"/>
      <c r="N218" s="14"/>
      <c r="O218" s="14"/>
      <c r="P218" s="14"/>
      <c r="Q218" s="14"/>
      <c r="R218" s="14"/>
      <c r="S218" s="14"/>
      <c r="T218" s="14"/>
      <c r="U218" s="14"/>
      <c r="V218" s="14"/>
      <c r="W218" s="14"/>
      <c r="X218" s="14"/>
      <c r="Y218" s="14"/>
      <c r="Z218" s="14"/>
      <c r="AA218" s="14"/>
      <c r="AB218" s="14"/>
    </row>
    <row r="219" spans="1:28" hidden="1" x14ac:dyDescent="0.25">
      <c r="A219" s="66"/>
      <c r="B219" s="97"/>
      <c r="C219" s="68"/>
      <c r="D219" s="145" t="s">
        <v>308</v>
      </c>
      <c r="E219" s="32"/>
      <c r="F219" s="65"/>
      <c r="G219" s="14"/>
      <c r="H219" s="14"/>
      <c r="I219" s="14"/>
      <c r="J219" s="14"/>
      <c r="K219" s="14"/>
      <c r="L219" s="14"/>
      <c r="M219" s="14"/>
      <c r="N219" s="14"/>
      <c r="O219" s="14"/>
      <c r="P219" s="14"/>
      <c r="Q219" s="14"/>
      <c r="R219" s="14"/>
      <c r="S219" s="14"/>
      <c r="T219" s="14"/>
      <c r="U219" s="14"/>
      <c r="V219" s="14"/>
      <c r="W219" s="14"/>
      <c r="X219" s="14"/>
      <c r="Y219" s="14"/>
      <c r="Z219" s="14"/>
      <c r="AA219" s="14"/>
      <c r="AB219" s="14"/>
    </row>
    <row r="220" spans="1:28" x14ac:dyDescent="0.25">
      <c r="A220" s="66"/>
      <c r="B220" s="117" t="s">
        <v>340</v>
      </c>
      <c r="C220" s="68"/>
      <c r="D220" s="214" t="s">
        <v>352</v>
      </c>
      <c r="E220" s="32"/>
      <c r="F220" s="65" t="s">
        <v>339</v>
      </c>
      <c r="G220" s="14"/>
      <c r="H220" s="14"/>
      <c r="I220" s="14"/>
      <c r="J220" s="14"/>
      <c r="K220" s="14"/>
      <c r="L220" s="14"/>
      <c r="M220" s="14"/>
      <c r="N220" s="14"/>
      <c r="O220" s="14"/>
      <c r="P220" s="14"/>
      <c r="Q220" s="14"/>
      <c r="R220" s="14"/>
      <c r="S220" s="14"/>
      <c r="T220" s="14"/>
      <c r="U220" s="14"/>
      <c r="V220" s="14"/>
      <c r="W220" s="14"/>
      <c r="X220" s="14"/>
      <c r="Y220" s="14"/>
      <c r="Z220" s="14"/>
      <c r="AA220" s="14"/>
      <c r="AB220" s="14"/>
    </row>
    <row r="221" spans="1:28" x14ac:dyDescent="0.25">
      <c r="A221" s="66"/>
      <c r="B221" s="97" t="s">
        <v>300</v>
      </c>
      <c r="C221" s="68"/>
      <c r="D221" s="176">
        <v>2</v>
      </c>
      <c r="E221" s="32" t="s">
        <v>19</v>
      </c>
      <c r="F221" s="65"/>
      <c r="G221" s="14"/>
      <c r="H221" s="14"/>
      <c r="I221" s="14"/>
      <c r="J221" s="14"/>
      <c r="K221" s="14"/>
      <c r="L221" s="14"/>
      <c r="M221" s="14"/>
      <c r="N221" s="14"/>
      <c r="O221" s="14"/>
      <c r="P221" s="14"/>
      <c r="Q221" s="14"/>
      <c r="R221" s="14"/>
      <c r="S221" s="14"/>
      <c r="T221" s="14"/>
      <c r="U221" s="14"/>
      <c r="V221" s="14"/>
      <c r="W221" s="14"/>
      <c r="X221" s="14"/>
      <c r="Y221" s="14"/>
      <c r="Z221" s="14"/>
      <c r="AA221" s="14"/>
      <c r="AB221" s="14"/>
    </row>
    <row r="222" spans="1:28" ht="15.75" x14ac:dyDescent="0.25">
      <c r="A222" s="66"/>
      <c r="B222" s="124" t="s">
        <v>254</v>
      </c>
      <c r="C222" s="125" t="s">
        <v>255</v>
      </c>
      <c r="D222" s="199">
        <v>4</v>
      </c>
      <c r="E222" s="126" t="s">
        <v>19</v>
      </c>
      <c r="F222" s="33"/>
      <c r="G222" s="14"/>
      <c r="H222" s="14"/>
      <c r="I222" s="14"/>
      <c r="J222" s="14"/>
      <c r="K222" s="14"/>
      <c r="L222" s="14"/>
      <c r="M222" s="14"/>
      <c r="N222" s="14"/>
      <c r="O222" s="14"/>
      <c r="P222" s="14"/>
      <c r="Q222" s="14"/>
      <c r="R222" s="14"/>
      <c r="S222" s="14"/>
      <c r="T222" s="14"/>
      <c r="U222" s="14"/>
      <c r="V222" s="14"/>
      <c r="W222" s="14"/>
      <c r="X222" s="14"/>
      <c r="Y222" s="14"/>
      <c r="Z222" s="14"/>
      <c r="AA222" s="14"/>
      <c r="AB222" s="14"/>
    </row>
    <row r="223" spans="1:28" ht="15.75" hidden="1" x14ac:dyDescent="0.25">
      <c r="A223" s="66"/>
      <c r="B223" s="124"/>
      <c r="C223" s="127" t="str">
        <f>E222</f>
        <v>mm</v>
      </c>
      <c r="D223" s="46" t="str">
        <f>C223</f>
        <v>mm</v>
      </c>
      <c r="E223" s="128"/>
      <c r="F223" s="33"/>
      <c r="G223" s="14"/>
      <c r="H223" s="14"/>
      <c r="I223" s="14"/>
      <c r="J223" s="14"/>
      <c r="K223" s="14"/>
      <c r="L223" s="14"/>
      <c r="M223" s="14"/>
      <c r="N223" s="14"/>
      <c r="O223" s="14"/>
      <c r="P223" s="14"/>
      <c r="Q223" s="14"/>
      <c r="R223" s="14"/>
      <c r="S223" s="14"/>
      <c r="T223" s="14"/>
      <c r="U223" s="14"/>
      <c r="V223" s="14"/>
      <c r="W223" s="14"/>
      <c r="X223" s="14"/>
      <c r="Y223" s="14"/>
      <c r="Z223" s="14"/>
      <c r="AA223" s="14"/>
      <c r="AB223" s="14"/>
    </row>
    <row r="224" spans="1:28" hidden="1" x14ac:dyDescent="0.25">
      <c r="A224" s="66"/>
      <c r="B224" s="129" t="s">
        <v>256</v>
      </c>
      <c r="C224" s="125"/>
      <c r="D224" s="130">
        <f>IF(D223="mm",D222,D222*0.0254)</f>
        <v>4</v>
      </c>
      <c r="E224" s="128" t="s">
        <v>19</v>
      </c>
      <c r="F224" s="33"/>
      <c r="G224" s="14"/>
      <c r="H224" s="14"/>
      <c r="I224" s="14"/>
      <c r="J224" s="14"/>
      <c r="K224" s="14"/>
      <c r="L224" s="14"/>
      <c r="M224" s="14"/>
      <c r="N224" s="14"/>
      <c r="O224" s="14"/>
      <c r="P224" s="14"/>
      <c r="Q224" s="14"/>
      <c r="R224" s="14"/>
      <c r="S224" s="14"/>
      <c r="T224" s="14"/>
      <c r="U224" s="14"/>
      <c r="V224" s="14"/>
      <c r="W224" s="14"/>
      <c r="X224" s="14"/>
      <c r="Y224" s="14"/>
      <c r="Z224" s="14"/>
      <c r="AA224" s="14"/>
      <c r="AB224" s="14"/>
    </row>
    <row r="225" spans="1:28" hidden="1" x14ac:dyDescent="0.25">
      <c r="A225" s="66"/>
      <c r="B225" s="29" t="s">
        <v>257</v>
      </c>
      <c r="C225" s="30"/>
      <c r="D225" s="131">
        <f>D224/D27</f>
        <v>0.8</v>
      </c>
      <c r="E225" s="132"/>
      <c r="F225" s="33"/>
      <c r="G225" s="14"/>
      <c r="H225" s="14"/>
      <c r="I225" s="14"/>
      <c r="J225" s="14"/>
      <c r="K225" s="14"/>
      <c r="L225" s="14"/>
      <c r="M225" s="14"/>
      <c r="N225" s="14"/>
      <c r="O225" s="14"/>
      <c r="P225" s="14"/>
      <c r="Q225" s="14"/>
      <c r="R225" s="14"/>
      <c r="S225" s="14"/>
      <c r="T225" s="14"/>
      <c r="U225" s="14"/>
      <c r="V225" s="14"/>
      <c r="W225" s="14"/>
      <c r="X225" s="14"/>
      <c r="Y225" s="14"/>
      <c r="Z225" s="14"/>
      <c r="AA225" s="14"/>
      <c r="AB225" s="14"/>
    </row>
    <row r="226" spans="1:28" hidden="1" x14ac:dyDescent="0.25">
      <c r="A226" s="66"/>
      <c r="B226" s="29" t="s">
        <v>258</v>
      </c>
      <c r="C226" s="30"/>
      <c r="D226" s="133">
        <f xml:space="preserve"> 12.413*D225^4 - 11.107*D225^3 - 1.1159*D225^2 + 3.6107*D225+ 0.0669</f>
        <v>1.6388648000000008</v>
      </c>
      <c r="E226" s="132"/>
      <c r="F226" s="33"/>
      <c r="G226" s="14"/>
      <c r="H226" s="14"/>
      <c r="I226" s="14"/>
      <c r="J226" s="14"/>
      <c r="K226" s="14"/>
      <c r="L226" s="14"/>
      <c r="M226" s="14"/>
      <c r="N226" s="14"/>
      <c r="O226" s="14"/>
      <c r="P226" s="14"/>
      <c r="Q226" s="14"/>
      <c r="R226" s="14"/>
      <c r="S226" s="14"/>
      <c r="T226" s="14"/>
      <c r="U226" s="14"/>
      <c r="V226" s="14"/>
      <c r="W226" s="14"/>
      <c r="X226" s="14"/>
      <c r="Y226" s="14"/>
      <c r="Z226" s="14"/>
      <c r="AA226" s="14"/>
      <c r="AB226" s="14"/>
    </row>
    <row r="227" spans="1:28" hidden="1" x14ac:dyDescent="0.25">
      <c r="A227" s="66"/>
      <c r="B227" s="29" t="s">
        <v>259</v>
      </c>
      <c r="C227" s="30"/>
      <c r="D227" s="131">
        <f>MIN(D226,1)</f>
        <v>1</v>
      </c>
      <c r="E227" s="132"/>
      <c r="F227" s="33"/>
      <c r="G227" s="14"/>
      <c r="H227" s="14"/>
      <c r="I227" s="14"/>
      <c r="J227" s="14"/>
      <c r="K227" s="14"/>
      <c r="L227" s="14"/>
      <c r="M227" s="14"/>
      <c r="N227" s="14"/>
      <c r="O227" s="14"/>
      <c r="P227" s="14"/>
      <c r="Q227" s="14"/>
      <c r="R227" s="14"/>
      <c r="S227" s="14"/>
      <c r="T227" s="14"/>
      <c r="U227" s="14"/>
      <c r="V227" s="14"/>
      <c r="W227" s="14"/>
      <c r="X227" s="14"/>
      <c r="Y227" s="14"/>
      <c r="Z227" s="14"/>
      <c r="AA227" s="14"/>
      <c r="AB227" s="14"/>
    </row>
    <row r="228" spans="1:28" hidden="1" x14ac:dyDescent="0.25">
      <c r="A228" s="66"/>
      <c r="B228" s="134" t="s">
        <v>260</v>
      </c>
      <c r="C228" s="135"/>
      <c r="D228" s="136">
        <v>1</v>
      </c>
      <c r="E228" s="137"/>
      <c r="F228" s="33"/>
      <c r="G228" s="14"/>
      <c r="H228" s="14"/>
      <c r="I228" s="14"/>
      <c r="J228" s="14"/>
      <c r="K228" s="14"/>
      <c r="L228" s="14"/>
      <c r="M228" s="14"/>
      <c r="N228" s="14"/>
      <c r="O228" s="14"/>
      <c r="P228" s="14"/>
      <c r="Q228" s="14"/>
      <c r="R228" s="14"/>
      <c r="S228" s="14"/>
      <c r="T228" s="14"/>
      <c r="U228" s="14"/>
      <c r="V228" s="14"/>
      <c r="W228" s="14"/>
      <c r="X228" s="14"/>
      <c r="Y228" s="14"/>
      <c r="Z228" s="14"/>
      <c r="AA228" s="14"/>
      <c r="AB228" s="14"/>
    </row>
    <row r="229" spans="1:28" hidden="1" x14ac:dyDescent="0.25">
      <c r="A229" s="66"/>
      <c r="B229" s="134"/>
      <c r="C229" s="135"/>
      <c r="D229" s="138"/>
      <c r="E229" s="99"/>
      <c r="F229" s="139"/>
      <c r="G229" s="14"/>
      <c r="H229" s="14"/>
      <c r="I229" s="14"/>
      <c r="J229" s="14"/>
      <c r="K229" s="14"/>
      <c r="L229" s="14"/>
      <c r="M229" s="14"/>
      <c r="N229" s="14"/>
      <c r="O229" s="14"/>
      <c r="P229" s="14"/>
      <c r="Q229" s="14"/>
      <c r="R229" s="14"/>
      <c r="S229" s="14"/>
      <c r="T229" s="14"/>
      <c r="U229" s="14"/>
      <c r="V229" s="14"/>
      <c r="W229" s="14"/>
      <c r="X229" s="14"/>
      <c r="Y229" s="14"/>
      <c r="Z229" s="14"/>
      <c r="AA229" s="14"/>
      <c r="AB229" s="14"/>
    </row>
    <row r="230" spans="1:28" hidden="1" x14ac:dyDescent="0.25">
      <c r="A230" s="66"/>
      <c r="B230" s="134" t="s">
        <v>261</v>
      </c>
      <c r="C230" s="135"/>
      <c r="D230" s="140">
        <f>IF(EXACT(D208,D215), D195,D193)</f>
        <v>0.52653968703797327</v>
      </c>
      <c r="E230" s="99" t="s">
        <v>229</v>
      </c>
      <c r="F230" s="141"/>
      <c r="G230" s="14"/>
      <c r="H230" s="14"/>
      <c r="I230" s="14"/>
      <c r="J230" s="14"/>
      <c r="K230" s="14"/>
      <c r="L230" s="14"/>
      <c r="M230" s="14"/>
      <c r="N230" s="14"/>
      <c r="O230" s="14"/>
      <c r="P230" s="14"/>
      <c r="Q230" s="14"/>
      <c r="R230" s="14"/>
      <c r="S230" s="14"/>
      <c r="T230" s="14"/>
      <c r="U230" s="14"/>
      <c r="V230" s="14"/>
      <c r="W230" s="14"/>
      <c r="X230" s="14"/>
      <c r="Y230" s="14"/>
      <c r="Z230" s="14"/>
      <c r="AA230" s="14"/>
      <c r="AB230" s="14"/>
    </row>
    <row r="231" spans="1:28" hidden="1" x14ac:dyDescent="0.25">
      <c r="A231" s="66"/>
      <c r="B231" s="134" t="s">
        <v>262</v>
      </c>
      <c r="C231" s="135" t="s">
        <v>263</v>
      </c>
      <c r="D231" s="140">
        <f>SQRT(D49/(4*PI()*PI()*0.1*D51*D241))*1000</f>
        <v>1.9747759328162341E-2</v>
      </c>
      <c r="E231" s="142" t="s">
        <v>19</v>
      </c>
      <c r="F231" s="33"/>
      <c r="G231" s="14"/>
      <c r="H231" s="14"/>
      <c r="I231" s="14"/>
      <c r="J231" s="14"/>
      <c r="K231" s="14"/>
      <c r="L231" s="14"/>
      <c r="M231" s="14"/>
      <c r="N231" s="14"/>
      <c r="O231" s="14"/>
      <c r="P231" s="14"/>
      <c r="Q231" s="14"/>
      <c r="R231" s="14"/>
      <c r="S231" s="14"/>
      <c r="T231" s="14"/>
      <c r="U231" s="14"/>
      <c r="V231" s="14"/>
      <c r="W231" s="14"/>
      <c r="X231" s="14"/>
      <c r="Y231" s="14"/>
      <c r="Z231" s="14"/>
      <c r="AA231" s="14"/>
      <c r="AB231" s="14"/>
    </row>
    <row r="232" spans="1:28" hidden="1" x14ac:dyDescent="0.25">
      <c r="A232" s="66"/>
      <c r="B232" s="134" t="s">
        <v>264</v>
      </c>
      <c r="C232" s="135" t="s">
        <v>242</v>
      </c>
      <c r="D232" s="143">
        <f>D199*D48/(D231*(1-EXP(-D48/D231)))</f>
        <v>1.2314659689701275</v>
      </c>
      <c r="E232" s="144" t="s">
        <v>238</v>
      </c>
      <c r="F232" s="33"/>
      <c r="G232" s="14"/>
      <c r="H232" s="14"/>
      <c r="I232" s="14"/>
      <c r="J232" s="14"/>
      <c r="K232" s="14"/>
      <c r="L232" s="14"/>
      <c r="M232" s="14"/>
      <c r="N232" s="14"/>
      <c r="O232" s="14"/>
      <c r="P232" s="14"/>
      <c r="Q232" s="14"/>
      <c r="R232" s="14"/>
      <c r="S232" s="14"/>
      <c r="T232" s="14"/>
      <c r="U232" s="14"/>
      <c r="V232" s="14"/>
      <c r="W232" s="14"/>
      <c r="X232" s="14"/>
      <c r="Y232" s="14"/>
      <c r="Z232" s="14"/>
      <c r="AA232" s="14"/>
      <c r="AB232" s="14"/>
    </row>
    <row r="233" spans="1:28" hidden="1" x14ac:dyDescent="0.25">
      <c r="A233" s="66"/>
      <c r="B233" s="134" t="s">
        <v>265</v>
      </c>
      <c r="C233" s="135" t="s">
        <v>244</v>
      </c>
      <c r="D233" s="145">
        <f>(1/D232)*(D240*0.000001/(D22*0.000000000001))</f>
        <v>1068.9286190310183</v>
      </c>
      <c r="E233" s="120" t="s">
        <v>238</v>
      </c>
      <c r="F233" s="33"/>
      <c r="G233" s="14"/>
      <c r="H233" s="14"/>
      <c r="I233" s="14"/>
      <c r="J233" s="14"/>
      <c r="K233" s="14"/>
      <c r="L233" s="14"/>
      <c r="M233" s="14"/>
      <c r="N233" s="14"/>
      <c r="O233" s="14"/>
      <c r="P233" s="14"/>
      <c r="Q233" s="14"/>
      <c r="R233" s="14"/>
      <c r="S233" s="14"/>
      <c r="T233" s="14"/>
      <c r="U233" s="14"/>
      <c r="V233" s="14"/>
      <c r="W233" s="14"/>
      <c r="X233" s="14"/>
      <c r="Y233" s="14"/>
      <c r="Z233" s="14"/>
      <c r="AA233" s="14"/>
      <c r="AB233" s="14"/>
    </row>
    <row r="234" spans="1:28" hidden="1" x14ac:dyDescent="0.25">
      <c r="A234" s="66"/>
      <c r="B234" s="134" t="s">
        <v>266</v>
      </c>
      <c r="C234" s="135"/>
      <c r="D234" s="145">
        <f>INDEX(G281:G287,MATCH(D20,B281:B287,0))</f>
        <v>5</v>
      </c>
      <c r="E234" s="120" t="s">
        <v>252</v>
      </c>
      <c r="F234" s="33"/>
      <c r="G234" s="14"/>
      <c r="H234" s="14"/>
      <c r="I234" s="14"/>
      <c r="J234" s="14"/>
      <c r="K234" s="14"/>
      <c r="L234" s="14"/>
      <c r="M234" s="14"/>
      <c r="N234" s="14"/>
      <c r="O234" s="14"/>
      <c r="P234" s="14"/>
      <c r="Q234" s="14"/>
      <c r="R234" s="14"/>
      <c r="S234" s="14"/>
      <c r="T234" s="14"/>
      <c r="U234" s="14"/>
      <c r="V234" s="14"/>
      <c r="W234" s="14"/>
      <c r="X234" s="14"/>
      <c r="Y234" s="14"/>
      <c r="Z234" s="14"/>
      <c r="AA234" s="14"/>
      <c r="AB234" s="14"/>
    </row>
    <row r="235" spans="1:28" hidden="1" x14ac:dyDescent="0.25">
      <c r="A235" s="66"/>
      <c r="B235" s="134" t="s">
        <v>267</v>
      </c>
      <c r="C235" s="135"/>
      <c r="D235" s="145">
        <f>INDEX(H281:H287,MATCH(D20,B281:B287,0))</f>
        <v>30</v>
      </c>
      <c r="E235" s="120" t="s">
        <v>252</v>
      </c>
      <c r="F235" s="33"/>
      <c r="G235" s="14"/>
      <c r="H235" s="14"/>
      <c r="I235" s="14"/>
      <c r="J235" s="14"/>
      <c r="K235" s="14"/>
      <c r="L235" s="14"/>
      <c r="M235" s="14"/>
      <c r="N235" s="14"/>
      <c r="O235" s="14"/>
      <c r="P235" s="14"/>
      <c r="Q235" s="14"/>
      <c r="R235" s="14"/>
      <c r="S235" s="14"/>
      <c r="T235" s="14"/>
      <c r="U235" s="14"/>
      <c r="V235" s="14"/>
      <c r="W235" s="14"/>
      <c r="X235" s="14"/>
      <c r="Y235" s="14"/>
      <c r="Z235" s="14"/>
      <c r="AA235" s="14"/>
      <c r="AB235" s="14"/>
    </row>
    <row r="236" spans="1:28" hidden="1" x14ac:dyDescent="0.25">
      <c r="A236" s="66"/>
      <c r="B236" s="134" t="s">
        <v>268</v>
      </c>
      <c r="C236" s="135"/>
      <c r="D236" s="145">
        <f>INDEX(C281:C287,MATCH(D20,B281:B287,0))</f>
        <v>0.35</v>
      </c>
      <c r="E236" s="120" t="s">
        <v>247</v>
      </c>
      <c r="F236" s="33"/>
      <c r="G236" s="14"/>
      <c r="H236" s="14"/>
      <c r="I236" s="14"/>
      <c r="J236" s="14"/>
      <c r="K236" s="14"/>
      <c r="L236" s="14"/>
      <c r="M236" s="14"/>
      <c r="N236" s="14"/>
      <c r="O236" s="14"/>
      <c r="P236" s="14"/>
      <c r="Q236" s="14"/>
      <c r="R236" s="14"/>
      <c r="S236" s="14"/>
      <c r="T236" s="14"/>
      <c r="U236" s="14"/>
      <c r="V236" s="14"/>
      <c r="W236" s="14"/>
      <c r="X236" s="14"/>
      <c r="Y236" s="14"/>
      <c r="Z236" s="14"/>
      <c r="AA236" s="14"/>
      <c r="AB236" s="14"/>
    </row>
    <row r="237" spans="1:28" hidden="1" x14ac:dyDescent="0.25">
      <c r="A237" s="66"/>
      <c r="B237" s="134" t="s">
        <v>269</v>
      </c>
      <c r="C237" s="135"/>
      <c r="D237" s="145">
        <f>INDEX(D281:D287,MATCH(D20,B281:B287,0))</f>
        <v>10</v>
      </c>
      <c r="E237" s="120" t="s">
        <v>247</v>
      </c>
      <c r="F237" s="33"/>
      <c r="G237" s="14"/>
      <c r="H237" s="14"/>
      <c r="I237" s="14"/>
      <c r="J237" s="14"/>
      <c r="K237" s="14"/>
      <c r="L237" s="14"/>
      <c r="M237" s="14"/>
      <c r="N237" s="14"/>
      <c r="O237" s="14"/>
      <c r="P237" s="14"/>
      <c r="Q237" s="14"/>
      <c r="R237" s="14"/>
      <c r="S237" s="14"/>
      <c r="T237" s="14"/>
      <c r="U237" s="14"/>
      <c r="V237" s="14"/>
      <c r="W237" s="14"/>
      <c r="X237" s="14"/>
      <c r="Y237" s="14"/>
      <c r="Z237" s="14"/>
      <c r="AA237" s="14"/>
      <c r="AB237" s="14"/>
    </row>
    <row r="238" spans="1:28" hidden="1" x14ac:dyDescent="0.25">
      <c r="A238" s="66"/>
      <c r="B238" s="134" t="s">
        <v>270</v>
      </c>
      <c r="C238" s="135"/>
      <c r="D238" s="145">
        <f>INDEX(E281:E287,MATCH(D20,B281:B287,0))</f>
        <v>5</v>
      </c>
      <c r="E238" s="120"/>
      <c r="F238" s="33"/>
      <c r="G238" s="14"/>
      <c r="H238" s="14"/>
      <c r="I238" s="14"/>
      <c r="J238" s="14"/>
      <c r="K238" s="14"/>
      <c r="L238" s="14"/>
      <c r="M238" s="14"/>
      <c r="N238" s="14"/>
      <c r="O238" s="14"/>
      <c r="P238" s="14"/>
      <c r="Q238" s="14"/>
      <c r="R238" s="14"/>
      <c r="S238" s="14"/>
      <c r="T238" s="14"/>
      <c r="U238" s="14"/>
      <c r="V238" s="14"/>
      <c r="W238" s="14"/>
      <c r="X238" s="14"/>
      <c r="Y238" s="14"/>
      <c r="Z238" s="14"/>
      <c r="AA238" s="14"/>
      <c r="AB238" s="14"/>
    </row>
    <row r="239" spans="1:28" hidden="1" x14ac:dyDescent="0.25">
      <c r="A239" s="66"/>
      <c r="B239" s="134" t="s">
        <v>271</v>
      </c>
      <c r="C239" s="135"/>
      <c r="D239" s="145">
        <f>INDEX(F281:F287,MATCH(D20,B281:B287,0))</f>
        <v>30</v>
      </c>
      <c r="E239" s="120"/>
      <c r="F239" s="33"/>
      <c r="G239" s="14"/>
      <c r="H239" s="14"/>
      <c r="I239" s="14"/>
      <c r="J239" s="14"/>
      <c r="K239" s="14"/>
      <c r="L239" s="14"/>
      <c r="M239" s="14"/>
      <c r="N239" s="14"/>
      <c r="O239" s="14"/>
      <c r="P239" s="14"/>
      <c r="Q239" s="14"/>
      <c r="R239" s="14"/>
      <c r="S239" s="14"/>
      <c r="T239" s="14"/>
      <c r="U239" s="14"/>
      <c r="V239" s="14"/>
      <c r="W239" s="14"/>
      <c r="X239" s="14"/>
      <c r="Y239" s="14"/>
      <c r="Z239" s="14"/>
      <c r="AA239" s="14"/>
      <c r="AB239" s="14"/>
    </row>
    <row r="240" spans="1:28" ht="18.75" x14ac:dyDescent="0.3">
      <c r="A240" s="66"/>
      <c r="B240" s="146" t="s">
        <v>272</v>
      </c>
      <c r="C240" s="147" t="s">
        <v>273</v>
      </c>
      <c r="D240" s="148">
        <f>D230</f>
        <v>0.52653968703797327</v>
      </c>
      <c r="E240" s="99" t="s">
        <v>229</v>
      </c>
      <c r="F240" s="33"/>
      <c r="G240" s="14"/>
      <c r="H240" s="14"/>
      <c r="I240" s="14"/>
      <c r="J240" s="14"/>
      <c r="K240" s="14"/>
      <c r="L240" s="14"/>
      <c r="M240" s="14"/>
      <c r="N240" s="14"/>
      <c r="O240" s="14"/>
      <c r="P240" s="14"/>
      <c r="Q240" s="14"/>
      <c r="R240" s="14"/>
      <c r="S240" s="14"/>
      <c r="T240" s="14"/>
      <c r="U240" s="14"/>
      <c r="V240" s="14"/>
      <c r="W240" s="14"/>
      <c r="X240" s="14"/>
      <c r="Y240" s="14"/>
      <c r="Z240" s="14"/>
      <c r="AA240" s="14"/>
      <c r="AB240" s="14"/>
    </row>
    <row r="241" spans="1:28" ht="19.5" x14ac:dyDescent="0.35">
      <c r="A241" s="66"/>
      <c r="B241" s="146" t="s">
        <v>274</v>
      </c>
      <c r="C241" s="68" t="s">
        <v>275</v>
      </c>
      <c r="D241" s="148">
        <f>IF(D20="LDC0851",1000/(PI()*SQRT(2*D22*D240)),1000/(2*PI()*SQRT((D22+D52)*D240)))</f>
        <v>10.912239609645274</v>
      </c>
      <c r="E241" s="149" t="s">
        <v>252</v>
      </c>
      <c r="F241" s="150" t="str">
        <f>IF(ISERROR(D241),"",IF(D241&lt;D234,"Fsensor is too low",IF(D241&gt;D235,"Fsensor is too high - increase L or C","")))</f>
        <v/>
      </c>
      <c r="G241" s="14"/>
      <c r="H241" s="14"/>
      <c r="I241" s="14"/>
      <c r="J241" s="14"/>
      <c r="K241" s="14"/>
      <c r="L241" s="14"/>
      <c r="M241" s="14"/>
      <c r="N241" s="14"/>
      <c r="O241" s="14"/>
      <c r="P241" s="14"/>
      <c r="Q241" s="14"/>
      <c r="R241" s="14"/>
      <c r="S241" s="14"/>
      <c r="T241" s="14"/>
      <c r="U241" s="14"/>
      <c r="V241" s="14"/>
      <c r="W241" s="14"/>
      <c r="X241" s="14"/>
      <c r="Y241" s="14"/>
      <c r="Z241" s="14"/>
      <c r="AA241" s="14"/>
      <c r="AB241" s="14"/>
    </row>
    <row r="242" spans="1:28" ht="19.5" x14ac:dyDescent="0.35">
      <c r="A242" s="66"/>
      <c r="B242" s="151" t="s">
        <v>276</v>
      </c>
      <c r="C242" s="147" t="s">
        <v>277</v>
      </c>
      <c r="D242" s="152">
        <f>D233/1000</f>
        <v>1.0689286190310183</v>
      </c>
      <c r="E242" s="153" t="s">
        <v>247</v>
      </c>
      <c r="F242" s="150" t="str">
        <f>IF(ISERROR(D242),"",IF(D242&lt;D236,"Sensor Rp is too low - try a lower C or higher L",IF(D242&gt;D237,"Sensor Rp too high","")))</f>
        <v/>
      </c>
      <c r="G242" s="14"/>
      <c r="H242" s="14"/>
      <c r="I242" s="14"/>
      <c r="J242" s="14"/>
      <c r="K242" s="14"/>
      <c r="L242" s="14"/>
      <c r="M242" s="14"/>
      <c r="N242" s="14"/>
      <c r="O242" s="14"/>
      <c r="P242" s="14"/>
      <c r="Q242" s="14"/>
      <c r="R242" s="14"/>
      <c r="S242" s="14"/>
      <c r="T242" s="14"/>
      <c r="U242" s="14"/>
      <c r="V242" s="14"/>
      <c r="W242" s="14"/>
      <c r="X242" s="14"/>
      <c r="Y242" s="14"/>
      <c r="Z242" s="14"/>
      <c r="AA242" s="14"/>
      <c r="AB242" s="14"/>
    </row>
    <row r="243" spans="1:28" ht="18.75" x14ac:dyDescent="0.3">
      <c r="B243" s="146" t="s">
        <v>278</v>
      </c>
      <c r="C243" s="147" t="s">
        <v>279</v>
      </c>
      <c r="D243" s="154">
        <f>(D242)*SQRT(D22/D240)</f>
        <v>29.462062400972044</v>
      </c>
      <c r="E243" s="137"/>
      <c r="F243" s="150" t="str">
        <f>IF(ISERROR(D243),"",IF(D243&lt;D238,"Sensor Q is too low",IF(D243&gt;D239,"Sensor Q too high","")))</f>
        <v/>
      </c>
      <c r="G243" s="14"/>
      <c r="H243" s="14"/>
      <c r="I243" s="14"/>
      <c r="J243" s="14"/>
      <c r="K243" s="14"/>
      <c r="L243" s="14"/>
      <c r="M243" s="14"/>
      <c r="N243" s="14"/>
      <c r="O243" s="14"/>
      <c r="P243" s="14"/>
      <c r="Q243" s="14"/>
      <c r="R243" s="14"/>
      <c r="S243" s="14"/>
      <c r="T243" s="14"/>
      <c r="U243" s="14"/>
      <c r="V243" s="14"/>
      <c r="W243" s="14"/>
      <c r="X243" s="14"/>
      <c r="Y243" s="14"/>
      <c r="Z243" s="14"/>
      <c r="AA243" s="14"/>
      <c r="AB243" s="14"/>
    </row>
    <row r="244" spans="1:28" ht="18.75" hidden="1" x14ac:dyDescent="0.3">
      <c r="B244" s="155" t="s">
        <v>280</v>
      </c>
      <c r="C244" s="147" t="s">
        <v>281</v>
      </c>
      <c r="D244" s="156">
        <f>0.001*ROUND((100*D22/D243),-2)</f>
        <v>1.4000000000000001</v>
      </c>
      <c r="E244" s="157" t="s">
        <v>282</v>
      </c>
      <c r="F244" s="150"/>
      <c r="G244" s="14"/>
      <c r="H244" s="14"/>
      <c r="I244" s="14"/>
      <c r="J244" s="14"/>
      <c r="K244" s="14"/>
      <c r="L244" s="14"/>
      <c r="M244" s="14"/>
      <c r="N244" s="14"/>
      <c r="O244" s="14"/>
      <c r="P244" s="14"/>
      <c r="Q244" s="14"/>
      <c r="R244" s="14"/>
      <c r="S244" s="14"/>
      <c r="T244" s="14"/>
      <c r="U244" s="14"/>
      <c r="V244" s="14"/>
      <c r="W244" s="14"/>
      <c r="X244" s="14"/>
      <c r="Y244" s="14"/>
      <c r="Z244" s="14"/>
      <c r="AA244" s="14"/>
      <c r="AB244" s="14"/>
    </row>
    <row r="245" spans="1:28" ht="18.75" hidden="1" x14ac:dyDescent="0.3">
      <c r="B245" s="155" t="s">
        <v>283</v>
      </c>
      <c r="C245" s="147" t="s">
        <v>284</v>
      </c>
      <c r="D245" s="156">
        <f>0.001*ROUND((1250*D22/D243),-1)</f>
        <v>16.97</v>
      </c>
      <c r="E245" s="157" t="s">
        <v>282</v>
      </c>
      <c r="F245" s="150"/>
      <c r="G245" s="14"/>
      <c r="H245" s="14"/>
      <c r="I245" s="14"/>
      <c r="J245" s="14"/>
      <c r="K245" s="14"/>
      <c r="L245" s="14"/>
      <c r="M245" s="14"/>
      <c r="N245" s="14"/>
      <c r="O245" s="14"/>
      <c r="P245" s="14"/>
      <c r="Q245" s="14"/>
      <c r="R245" s="14"/>
      <c r="S245" s="14"/>
      <c r="T245" s="14"/>
      <c r="U245" s="14"/>
      <c r="V245" s="14"/>
      <c r="W245" s="14"/>
      <c r="X245" s="14"/>
      <c r="Y245" s="14"/>
      <c r="Z245" s="14"/>
      <c r="AA245" s="14"/>
      <c r="AB245" s="14"/>
    </row>
    <row r="246" spans="1:28" ht="18.75" x14ac:dyDescent="0.3">
      <c r="B246" s="158" t="str">
        <f>IF(D20=B286,B289,"")</f>
        <v/>
      </c>
      <c r="C246" s="134" t="str">
        <f>IF(D20=B286,C289,"")</f>
        <v/>
      </c>
      <c r="D246" s="159" t="str">
        <f>IF(D20=B286,TEXT(D244,"##0.0#")&amp;"&lt; C &lt;"&amp;TEXT(D245,"###.0"),"")</f>
        <v/>
      </c>
      <c r="E246" s="160" t="str">
        <f>IF(D20=B286,"nF","")</f>
        <v/>
      </c>
      <c r="F246" s="161"/>
      <c r="G246" s="14"/>
      <c r="H246" s="14"/>
      <c r="I246" s="14"/>
      <c r="J246" s="14"/>
      <c r="K246" s="14"/>
      <c r="L246" s="14"/>
      <c r="M246" s="14"/>
      <c r="N246" s="14"/>
      <c r="O246" s="14"/>
      <c r="P246" s="14"/>
      <c r="Q246" s="14"/>
      <c r="R246" s="14"/>
      <c r="S246" s="14"/>
      <c r="T246" s="14"/>
      <c r="U246" s="14"/>
      <c r="V246" s="14"/>
      <c r="W246" s="14"/>
      <c r="X246" s="14"/>
      <c r="Y246" s="14"/>
      <c r="Z246" s="14"/>
      <c r="AA246" s="14"/>
      <c r="AB246" s="14"/>
    </row>
    <row r="247" spans="1:28" x14ac:dyDescent="0.25">
      <c r="A247" s="14"/>
      <c r="B247" s="14"/>
      <c r="C247" s="14"/>
      <c r="D247" s="162"/>
      <c r="E247" s="162"/>
      <c r="F247" s="163"/>
      <c r="G247" s="14"/>
      <c r="H247" s="14"/>
      <c r="I247" s="14"/>
      <c r="J247" s="14"/>
      <c r="K247" s="14"/>
      <c r="L247" s="14"/>
      <c r="M247" s="14"/>
      <c r="N247" s="14"/>
      <c r="O247" s="14"/>
      <c r="P247" s="14"/>
      <c r="Q247" s="14"/>
      <c r="R247" s="14"/>
      <c r="S247" s="14"/>
      <c r="T247" s="14"/>
      <c r="U247" s="14"/>
      <c r="V247" s="14"/>
      <c r="W247" s="14"/>
      <c r="X247" s="14"/>
      <c r="Y247" s="14"/>
      <c r="Z247" s="14"/>
      <c r="AA247" s="14"/>
      <c r="AB247" s="14"/>
    </row>
    <row r="248" spans="1:28" ht="14.1" customHeight="1" x14ac:dyDescent="0.25">
      <c r="A248" s="14"/>
      <c r="B248" s="121" t="s">
        <v>353</v>
      </c>
      <c r="C248" s="67"/>
      <c r="D248" s="196"/>
      <c r="E248" s="220"/>
      <c r="F248" s="211"/>
      <c r="G248" s="14"/>
      <c r="H248" s="14"/>
      <c r="I248" s="14"/>
      <c r="J248" s="14"/>
      <c r="K248" s="14"/>
      <c r="L248" s="14"/>
      <c r="M248" s="14"/>
      <c r="N248" s="14"/>
      <c r="O248" s="14"/>
      <c r="P248" s="14"/>
      <c r="Q248" s="14"/>
      <c r="R248" s="14"/>
      <c r="S248" s="14"/>
      <c r="T248" s="14"/>
      <c r="U248" s="14"/>
      <c r="V248" s="14"/>
      <c r="W248" s="14"/>
      <c r="X248" s="14"/>
      <c r="Y248" s="14"/>
      <c r="Z248" s="14"/>
      <c r="AA248" s="14"/>
      <c r="AB248" s="14"/>
    </row>
    <row r="249" spans="1:28" ht="15.75" x14ac:dyDescent="0.25">
      <c r="A249" s="14"/>
      <c r="B249" s="215" t="s">
        <v>315</v>
      </c>
      <c r="C249" s="145"/>
      <c r="D249" s="175"/>
      <c r="E249" s="145"/>
      <c r="F249" s="211"/>
      <c r="G249" s="14"/>
      <c r="H249" s="14"/>
      <c r="I249" s="14"/>
      <c r="J249" s="14"/>
      <c r="K249" s="14"/>
      <c r="L249" s="14"/>
      <c r="M249" s="14"/>
      <c r="N249" s="14"/>
      <c r="O249" s="14"/>
      <c r="P249" s="14"/>
      <c r="Q249" s="14"/>
      <c r="R249" s="14"/>
      <c r="S249" s="14"/>
      <c r="T249" s="14"/>
      <c r="U249" s="14"/>
      <c r="V249" s="14"/>
      <c r="W249" s="14"/>
      <c r="X249" s="14"/>
      <c r="Y249" s="14"/>
      <c r="Z249" s="14"/>
      <c r="AA249" s="14"/>
      <c r="AB249" s="14"/>
    </row>
    <row r="250" spans="1:28" hidden="1" x14ac:dyDescent="0.25">
      <c r="A250" s="14"/>
      <c r="B250" s="201" t="s">
        <v>331</v>
      </c>
      <c r="C250" s="201"/>
      <c r="D250" s="202">
        <f>D23</f>
        <v>2</v>
      </c>
      <c r="E250" s="67"/>
      <c r="F250" s="211"/>
      <c r="G250" s="14"/>
      <c r="H250" s="14"/>
      <c r="I250" s="14"/>
      <c r="J250" s="14"/>
      <c r="K250" s="14"/>
      <c r="L250" s="14"/>
      <c r="M250" s="14"/>
      <c r="N250" s="14"/>
      <c r="O250" s="14"/>
      <c r="P250" s="14"/>
      <c r="Q250" s="14"/>
      <c r="R250" s="14"/>
      <c r="S250" s="14"/>
      <c r="T250" s="14"/>
      <c r="U250" s="14"/>
      <c r="V250" s="14"/>
      <c r="W250" s="14"/>
      <c r="X250" s="14"/>
      <c r="Y250" s="14"/>
      <c r="Z250" s="14"/>
      <c r="AA250" s="14"/>
      <c r="AB250" s="14"/>
    </row>
    <row r="251" spans="1:28" hidden="1" x14ac:dyDescent="0.25">
      <c r="A251" s="14"/>
      <c r="B251" s="201" t="s">
        <v>323</v>
      </c>
      <c r="C251" s="201"/>
      <c r="D251" s="203">
        <f>D63</f>
        <v>0.30479999999999996</v>
      </c>
      <c r="E251" s="67"/>
      <c r="F251" s="211"/>
      <c r="G251" s="14"/>
      <c r="H251" s="14"/>
      <c r="I251" s="14"/>
      <c r="J251" s="14"/>
      <c r="K251" s="14"/>
      <c r="L251" s="14"/>
      <c r="M251" s="14"/>
      <c r="N251" s="14"/>
      <c r="O251" s="14"/>
      <c r="P251" s="14"/>
      <c r="Q251" s="14"/>
      <c r="R251" s="14"/>
      <c r="S251" s="14"/>
      <c r="T251" s="14"/>
      <c r="U251" s="14"/>
      <c r="V251" s="14"/>
      <c r="W251" s="14"/>
      <c r="X251" s="14"/>
      <c r="Y251" s="14"/>
      <c r="Z251" s="14"/>
      <c r="AA251" s="14"/>
      <c r="AB251" s="14"/>
    </row>
    <row r="252" spans="1:28" hidden="1" x14ac:dyDescent="0.25">
      <c r="A252" s="14"/>
      <c r="B252" s="201" t="s">
        <v>324</v>
      </c>
      <c r="C252" s="201"/>
      <c r="D252" s="203">
        <f t="shared" ref="D252:D257" si="3">D64</f>
        <v>0.20319999999999999</v>
      </c>
      <c r="E252" s="67"/>
      <c r="F252" s="211"/>
      <c r="G252" s="14"/>
      <c r="H252" s="14"/>
      <c r="I252" s="14"/>
      <c r="J252" s="14"/>
      <c r="K252" s="14"/>
      <c r="L252" s="14"/>
      <c r="M252" s="14"/>
      <c r="N252" s="14"/>
      <c r="O252" s="14"/>
      <c r="P252" s="14"/>
      <c r="Q252" s="14"/>
      <c r="R252" s="14"/>
      <c r="S252" s="14"/>
      <c r="T252" s="14"/>
      <c r="U252" s="14"/>
      <c r="V252" s="14"/>
      <c r="W252" s="14"/>
      <c r="X252" s="14"/>
      <c r="Y252" s="14"/>
      <c r="Z252" s="14"/>
      <c r="AA252" s="14"/>
      <c r="AB252" s="14"/>
    </row>
    <row r="253" spans="1:28" hidden="1" x14ac:dyDescent="0.25">
      <c r="A253" s="14"/>
      <c r="B253" s="201" t="s">
        <v>325</v>
      </c>
      <c r="C253" s="201"/>
      <c r="D253" s="203">
        <f t="shared" si="3"/>
        <v>0.20319999999999999</v>
      </c>
      <c r="E253" s="67"/>
      <c r="F253" s="211"/>
      <c r="G253" s="14"/>
      <c r="H253" s="14"/>
      <c r="I253" s="14"/>
      <c r="J253" s="14"/>
      <c r="K253" s="14"/>
      <c r="L253" s="14"/>
      <c r="M253" s="14"/>
      <c r="N253" s="14"/>
      <c r="O253" s="14"/>
      <c r="P253" s="14"/>
      <c r="Q253" s="14"/>
      <c r="R253" s="14"/>
      <c r="S253" s="14"/>
      <c r="T253" s="14"/>
      <c r="U253" s="14"/>
      <c r="V253" s="14"/>
      <c r="W253" s="14"/>
      <c r="X253" s="14"/>
      <c r="Y253" s="14"/>
      <c r="Z253" s="14"/>
      <c r="AA253" s="14"/>
      <c r="AB253" s="14"/>
    </row>
    <row r="254" spans="1:28" hidden="1" x14ac:dyDescent="0.25">
      <c r="A254" s="14"/>
      <c r="B254" s="201" t="s">
        <v>326</v>
      </c>
      <c r="C254" s="201"/>
      <c r="D254" s="203">
        <f t="shared" si="3"/>
        <v>0.20319999999999999</v>
      </c>
      <c r="E254" s="67"/>
      <c r="F254" s="211"/>
      <c r="G254" s="14"/>
      <c r="H254" s="14"/>
      <c r="I254" s="14"/>
      <c r="J254" s="14"/>
      <c r="K254" s="14"/>
      <c r="L254" s="14"/>
      <c r="M254" s="14"/>
      <c r="N254" s="14"/>
      <c r="O254" s="14"/>
      <c r="P254" s="14"/>
      <c r="Q254" s="14"/>
      <c r="R254" s="14"/>
      <c r="S254" s="14"/>
      <c r="T254" s="14"/>
      <c r="U254" s="14"/>
      <c r="V254" s="14"/>
      <c r="W254" s="14"/>
      <c r="X254" s="14"/>
      <c r="Y254" s="14"/>
      <c r="Z254" s="14"/>
      <c r="AA254" s="14"/>
      <c r="AB254" s="14"/>
    </row>
    <row r="255" spans="1:28" hidden="1" x14ac:dyDescent="0.25">
      <c r="A255" s="14"/>
      <c r="B255" s="201" t="s">
        <v>327</v>
      </c>
      <c r="C255" s="201"/>
      <c r="D255" s="203">
        <f t="shared" si="3"/>
        <v>0.20319999999999999</v>
      </c>
      <c r="E255" s="67"/>
      <c r="F255" s="211"/>
      <c r="G255" s="14"/>
      <c r="H255" s="14"/>
      <c r="I255" s="14"/>
      <c r="J255" s="14"/>
      <c r="K255" s="14"/>
      <c r="L255" s="14"/>
      <c r="M255" s="14"/>
      <c r="N255" s="14"/>
      <c r="O255" s="14"/>
      <c r="P255" s="14"/>
      <c r="Q255" s="14"/>
      <c r="R255" s="14"/>
      <c r="S255" s="14"/>
      <c r="T255" s="14"/>
      <c r="U255" s="14"/>
      <c r="V255" s="14"/>
      <c r="W255" s="14"/>
      <c r="X255" s="14"/>
      <c r="Y255" s="14"/>
      <c r="Z255" s="14"/>
      <c r="AA255" s="14"/>
      <c r="AB255" s="14"/>
    </row>
    <row r="256" spans="1:28" hidden="1" x14ac:dyDescent="0.25">
      <c r="A256" s="14"/>
      <c r="B256" s="201" t="s">
        <v>328</v>
      </c>
      <c r="C256" s="201"/>
      <c r="D256" s="203">
        <f t="shared" si="3"/>
        <v>0.20319999999999999</v>
      </c>
      <c r="E256" s="67"/>
      <c r="F256" s="211"/>
      <c r="G256" s="14"/>
      <c r="H256" s="14"/>
      <c r="I256" s="14"/>
      <c r="J256" s="14"/>
      <c r="K256" s="14"/>
      <c r="L256" s="14"/>
      <c r="M256" s="14"/>
      <c r="N256" s="14"/>
      <c r="O256" s="14"/>
      <c r="P256" s="14"/>
      <c r="Q256" s="14"/>
      <c r="R256" s="14"/>
      <c r="S256" s="14"/>
      <c r="T256" s="14"/>
      <c r="U256" s="14"/>
      <c r="V256" s="14"/>
      <c r="W256" s="14"/>
      <c r="X256" s="14"/>
      <c r="Y256" s="14"/>
      <c r="Z256" s="14"/>
      <c r="AA256" s="14"/>
      <c r="AB256" s="14"/>
    </row>
    <row r="257" spans="1:28" hidden="1" x14ac:dyDescent="0.25">
      <c r="A257" s="14"/>
      <c r="B257" s="201" t="s">
        <v>329</v>
      </c>
      <c r="C257" s="201"/>
      <c r="D257" s="203">
        <f t="shared" si="3"/>
        <v>2.2351999999999999</v>
      </c>
      <c r="E257" s="67"/>
      <c r="F257" s="211"/>
      <c r="G257" s="14"/>
      <c r="H257" s="14"/>
      <c r="I257" s="14"/>
      <c r="J257" s="14"/>
      <c r="K257" s="14"/>
      <c r="L257" s="14"/>
      <c r="M257" s="14"/>
      <c r="N257" s="14"/>
      <c r="O257" s="14"/>
      <c r="P257" s="14"/>
      <c r="Q257" s="14"/>
      <c r="R257" s="14"/>
      <c r="S257" s="14"/>
      <c r="T257" s="14"/>
      <c r="U257" s="14"/>
      <c r="V257" s="14"/>
      <c r="W257" s="14"/>
      <c r="X257" s="14"/>
      <c r="Y257" s="14"/>
      <c r="Z257" s="14"/>
      <c r="AA257" s="14"/>
      <c r="AB257" s="14"/>
    </row>
    <row r="258" spans="1:28" hidden="1" x14ac:dyDescent="0.25">
      <c r="A258" s="14"/>
      <c r="B258" s="201" t="s">
        <v>316</v>
      </c>
      <c r="C258" s="201"/>
      <c r="D258" s="204">
        <f>D24</f>
        <v>8</v>
      </c>
      <c r="E258" s="67"/>
      <c r="F258" s="211"/>
      <c r="G258" s="14"/>
      <c r="H258" s="14"/>
      <c r="I258" s="14"/>
      <c r="J258" s="14"/>
      <c r="K258" s="14"/>
      <c r="L258" s="14"/>
      <c r="M258" s="14"/>
      <c r="N258" s="14"/>
      <c r="O258" s="14"/>
      <c r="P258" s="14"/>
      <c r="Q258" s="14"/>
      <c r="R258" s="14"/>
      <c r="S258" s="14"/>
      <c r="T258" s="14"/>
      <c r="U258" s="14"/>
      <c r="V258" s="14"/>
      <c r="W258" s="14"/>
      <c r="X258" s="14"/>
      <c r="Y258" s="14"/>
      <c r="Z258" s="14"/>
      <c r="AA258" s="14"/>
      <c r="AB258" s="14"/>
    </row>
    <row r="259" spans="1:28" hidden="1" x14ac:dyDescent="0.25">
      <c r="A259" s="14"/>
      <c r="B259" s="201" t="s">
        <v>317</v>
      </c>
      <c r="C259" s="201"/>
      <c r="D259" s="205">
        <f>D27</f>
        <v>5</v>
      </c>
      <c r="E259" s="67"/>
      <c r="F259" s="211"/>
      <c r="G259" s="14"/>
      <c r="H259" s="14"/>
      <c r="I259" s="14"/>
      <c r="J259" s="14"/>
      <c r="K259" s="14"/>
      <c r="L259" s="14"/>
      <c r="M259" s="14"/>
      <c r="N259" s="14"/>
      <c r="O259" s="14"/>
      <c r="P259" s="14"/>
      <c r="Q259" s="14"/>
      <c r="R259" s="14"/>
      <c r="S259" s="14"/>
      <c r="T259" s="14"/>
      <c r="U259" s="14"/>
      <c r="V259" s="14"/>
      <c r="W259" s="14"/>
      <c r="X259" s="14"/>
      <c r="Y259" s="14"/>
      <c r="Z259" s="14"/>
      <c r="AA259" s="14"/>
      <c r="AB259" s="14"/>
    </row>
    <row r="260" spans="1:28" hidden="1" x14ac:dyDescent="0.25">
      <c r="A260" s="14"/>
      <c r="B260" s="201" t="s">
        <v>318</v>
      </c>
      <c r="C260" s="201"/>
      <c r="D260" s="205">
        <f>D38</f>
        <v>0.127</v>
      </c>
      <c r="E260" s="67"/>
      <c r="F260" s="211"/>
      <c r="G260" s="14"/>
      <c r="H260" s="14"/>
      <c r="I260" s="14"/>
      <c r="J260" s="14"/>
      <c r="K260" s="14"/>
      <c r="L260" s="14"/>
      <c r="M260" s="14"/>
      <c r="N260" s="14"/>
      <c r="O260" s="14"/>
      <c r="P260" s="14"/>
      <c r="Q260" s="14"/>
      <c r="R260" s="14"/>
      <c r="S260" s="14"/>
      <c r="T260" s="14"/>
      <c r="U260" s="14"/>
      <c r="V260" s="14"/>
      <c r="W260" s="14"/>
      <c r="X260" s="14"/>
      <c r="Y260" s="14"/>
      <c r="Z260" s="14"/>
      <c r="AA260" s="14"/>
      <c r="AB260" s="14"/>
    </row>
    <row r="261" spans="1:28" hidden="1" x14ac:dyDescent="0.25">
      <c r="A261" s="14"/>
      <c r="B261" s="201" t="s">
        <v>319</v>
      </c>
      <c r="C261" s="201"/>
      <c r="D261" s="205">
        <f>D35</f>
        <v>0.127</v>
      </c>
      <c r="E261" s="67"/>
      <c r="F261" s="211"/>
      <c r="G261" s="14"/>
      <c r="H261" s="14"/>
      <c r="I261" s="14"/>
      <c r="J261" s="14"/>
      <c r="K261" s="14"/>
      <c r="L261" s="14"/>
      <c r="M261" s="14"/>
      <c r="N261" s="14"/>
      <c r="O261" s="14"/>
      <c r="P261" s="14"/>
      <c r="Q261" s="14"/>
      <c r="R261" s="14"/>
      <c r="S261" s="14"/>
      <c r="T261" s="14"/>
      <c r="U261" s="14"/>
      <c r="V261" s="14"/>
      <c r="W261" s="14"/>
      <c r="X261" s="14"/>
      <c r="Y261" s="14"/>
      <c r="Z261" s="14"/>
      <c r="AA261" s="14"/>
      <c r="AB261" s="14"/>
    </row>
    <row r="262" spans="1:28" hidden="1" x14ac:dyDescent="0.25">
      <c r="A262" s="14"/>
      <c r="B262" s="201" t="s">
        <v>320</v>
      </c>
      <c r="C262" s="201"/>
      <c r="D262" s="206">
        <f>D48</f>
        <v>3.4700000000000002E-2</v>
      </c>
      <c r="E262" s="67"/>
      <c r="F262" s="211"/>
      <c r="G262" s="14"/>
      <c r="H262" s="14"/>
      <c r="I262" s="14"/>
      <c r="J262" s="14"/>
      <c r="K262" s="14"/>
      <c r="L262" s="14"/>
      <c r="M262" s="14"/>
      <c r="N262" s="14"/>
      <c r="O262" s="14"/>
      <c r="P262" s="14"/>
      <c r="Q262" s="14"/>
      <c r="R262" s="14"/>
      <c r="S262" s="14"/>
      <c r="T262" s="14"/>
      <c r="U262" s="14"/>
      <c r="V262" s="14"/>
      <c r="W262" s="14"/>
      <c r="X262" s="14"/>
      <c r="Y262" s="14"/>
      <c r="Z262" s="14"/>
      <c r="AA262" s="14"/>
      <c r="AB262" s="14"/>
    </row>
    <row r="263" spans="1:28" hidden="1" x14ac:dyDescent="0.25">
      <c r="A263" s="14"/>
      <c r="B263" s="201" t="s">
        <v>321</v>
      </c>
      <c r="C263" s="201"/>
      <c r="D263" s="207">
        <f>D53</f>
        <v>1.713012E-8</v>
      </c>
      <c r="E263" s="67"/>
      <c r="F263" s="211"/>
      <c r="G263" s="14"/>
      <c r="H263" s="14"/>
      <c r="I263" s="14"/>
      <c r="J263" s="14"/>
      <c r="K263" s="14"/>
      <c r="L263" s="14"/>
      <c r="M263" s="14"/>
      <c r="N263" s="14"/>
      <c r="O263" s="14"/>
      <c r="P263" s="14"/>
      <c r="Q263" s="14"/>
      <c r="R263" s="14"/>
      <c r="S263" s="14"/>
      <c r="T263" s="14"/>
      <c r="U263" s="14"/>
      <c r="V263" s="14"/>
      <c r="W263" s="14"/>
      <c r="X263" s="14"/>
      <c r="Y263" s="14"/>
      <c r="Z263" s="14"/>
      <c r="AA263" s="14"/>
      <c r="AB263" s="14"/>
    </row>
    <row r="264" spans="1:28" hidden="1" x14ac:dyDescent="0.25">
      <c r="A264" s="14"/>
      <c r="B264" s="201" t="s">
        <v>299</v>
      </c>
      <c r="C264" s="201"/>
      <c r="D264" s="205" t="str">
        <f>D208</f>
        <v>Aluminum, 1100</v>
      </c>
      <c r="E264" s="67"/>
      <c r="F264" s="211"/>
      <c r="G264" s="14"/>
      <c r="H264" s="14"/>
      <c r="I264" s="14"/>
      <c r="J264" s="14"/>
      <c r="K264" s="14"/>
      <c r="L264" s="14"/>
      <c r="M264" s="14"/>
      <c r="N264" s="14"/>
      <c r="O264" s="14"/>
      <c r="P264" s="14"/>
      <c r="Q264" s="14"/>
      <c r="R264" s="14"/>
      <c r="S264" s="14"/>
      <c r="T264" s="14"/>
      <c r="U264" s="14"/>
      <c r="V264" s="14"/>
      <c r="W264" s="14"/>
      <c r="X264" s="14"/>
      <c r="Y264" s="14"/>
      <c r="Z264" s="14"/>
      <c r="AA264" s="14"/>
      <c r="AB264" s="14"/>
    </row>
    <row r="265" spans="1:28" hidden="1" x14ac:dyDescent="0.25">
      <c r="A265" s="14"/>
      <c r="B265" s="201" t="s">
        <v>300</v>
      </c>
      <c r="C265" s="201"/>
      <c r="D265" s="205">
        <f>D221</f>
        <v>2</v>
      </c>
      <c r="E265" s="67"/>
      <c r="F265" s="211"/>
      <c r="G265" s="14"/>
      <c r="H265" s="14"/>
      <c r="I265" s="14"/>
      <c r="J265" s="14"/>
      <c r="K265" s="14"/>
      <c r="L265" s="14"/>
      <c r="M265" s="14"/>
      <c r="N265" s="14"/>
      <c r="O265" s="14"/>
      <c r="P265" s="14"/>
      <c r="Q265" s="14"/>
      <c r="R265" s="14"/>
      <c r="S265" s="14"/>
      <c r="T265" s="14"/>
      <c r="U265" s="14"/>
      <c r="V265" s="14"/>
      <c r="W265" s="14"/>
      <c r="X265" s="14"/>
      <c r="Y265" s="14"/>
      <c r="Z265" s="14"/>
      <c r="AA265" s="14"/>
      <c r="AB265" s="14"/>
    </row>
    <row r="266" spans="1:28" hidden="1" x14ac:dyDescent="0.25">
      <c r="A266" s="14"/>
      <c r="B266" s="201" t="s">
        <v>254</v>
      </c>
      <c r="C266" s="201"/>
      <c r="D266" s="205">
        <f>D222</f>
        <v>4</v>
      </c>
      <c r="E266" s="67"/>
      <c r="F266" s="211"/>
      <c r="G266" s="14"/>
      <c r="H266" s="14"/>
      <c r="I266" s="14"/>
      <c r="J266" s="14"/>
      <c r="K266" s="14"/>
      <c r="L266" s="14"/>
      <c r="M266" s="14"/>
      <c r="N266" s="14"/>
      <c r="O266" s="14"/>
      <c r="P266" s="14"/>
      <c r="Q266" s="14"/>
      <c r="R266" s="14"/>
      <c r="S266" s="14"/>
      <c r="T266" s="14"/>
      <c r="U266" s="14"/>
      <c r="V266" s="14"/>
      <c r="W266" s="14"/>
      <c r="X266" s="14"/>
      <c r="Y266" s="14"/>
      <c r="Z266" s="14"/>
      <c r="AA266" s="14"/>
      <c r="AB266" s="14"/>
    </row>
    <row r="267" spans="1:28" hidden="1" x14ac:dyDescent="0.25">
      <c r="A267" s="14"/>
      <c r="B267" s="201" t="s">
        <v>322</v>
      </c>
      <c r="C267" s="201"/>
      <c r="D267" s="208">
        <f>D22+D52</f>
        <v>404</v>
      </c>
      <c r="E267" s="67"/>
      <c r="F267" s="211"/>
      <c r="G267" s="14"/>
      <c r="H267" s="14"/>
      <c r="I267" s="14"/>
      <c r="J267" s="14"/>
      <c r="K267" s="14"/>
      <c r="L267" s="14"/>
      <c r="M267" s="14"/>
      <c r="N267" s="14"/>
      <c r="O267" s="14"/>
      <c r="P267" s="14"/>
      <c r="Q267" s="14"/>
      <c r="R267" s="14"/>
      <c r="S267" s="14"/>
      <c r="T267" s="14"/>
      <c r="U267" s="14"/>
      <c r="V267" s="14"/>
      <c r="W267" s="14"/>
      <c r="X267" s="14"/>
      <c r="Y267" s="14"/>
      <c r="Z267" s="14"/>
      <c r="AA267" s="14"/>
      <c r="AB267" s="14"/>
    </row>
    <row r="268" spans="1:28" hidden="1" x14ac:dyDescent="0.25">
      <c r="A268" s="14"/>
      <c r="B268" s="201" t="s">
        <v>330</v>
      </c>
      <c r="C268" s="201"/>
      <c r="D268" s="205">
        <f>IF(ISNUMBER(D241),D241,1)</f>
        <v>10.912239609645274</v>
      </c>
      <c r="E268" s="67"/>
      <c r="F268" s="211"/>
      <c r="G268" s="14"/>
      <c r="H268" s="14"/>
      <c r="I268" s="14"/>
      <c r="J268" s="14"/>
      <c r="K268" s="14"/>
      <c r="L268" s="14"/>
      <c r="M268" s="14"/>
      <c r="N268" s="14"/>
      <c r="O268" s="14"/>
      <c r="P268" s="14"/>
      <c r="Q268" s="14"/>
      <c r="R268" s="14"/>
      <c r="S268" s="14"/>
      <c r="T268" s="14"/>
      <c r="U268" s="14"/>
      <c r="V268" s="14"/>
      <c r="W268" s="14"/>
      <c r="X268" s="14"/>
      <c r="Y268" s="14"/>
      <c r="Z268" s="14"/>
      <c r="AA268" s="14"/>
      <c r="AB268" s="14"/>
    </row>
    <row r="269" spans="1:28" hidden="1" x14ac:dyDescent="0.25">
      <c r="A269" s="14"/>
      <c r="B269" s="201" t="s">
        <v>350</v>
      </c>
      <c r="C269" s="67"/>
      <c r="D269" s="206">
        <f>D57</f>
        <v>0.93600000000000017</v>
      </c>
      <c r="E269" s="67"/>
      <c r="F269" s="211"/>
      <c r="G269" s="14"/>
      <c r="H269" s="14"/>
      <c r="I269" s="14"/>
      <c r="J269" s="14"/>
      <c r="K269" s="14"/>
      <c r="L269" s="14"/>
      <c r="M269" s="14"/>
      <c r="N269" s="14"/>
      <c r="O269" s="14"/>
      <c r="P269" s="14"/>
      <c r="Q269" s="14"/>
      <c r="R269" s="14"/>
      <c r="S269" s="14"/>
      <c r="T269" s="14"/>
      <c r="U269" s="14"/>
      <c r="V269" s="14"/>
      <c r="W269" s="14"/>
      <c r="X269" s="14"/>
      <c r="Y269" s="14"/>
      <c r="Z269" s="14"/>
      <c r="AA269" s="14"/>
      <c r="AB269" s="14"/>
    </row>
    <row r="270" spans="1:28" hidden="1" x14ac:dyDescent="0.25">
      <c r="A270" s="14"/>
      <c r="B270" s="201" t="s">
        <v>349</v>
      </c>
      <c r="C270" s="67"/>
      <c r="D270" s="228">
        <f>D30</f>
        <v>17.399999999999999</v>
      </c>
      <c r="E270" s="67"/>
      <c r="F270" s="211"/>
      <c r="G270" s="14"/>
      <c r="H270" s="14"/>
      <c r="I270" s="14"/>
      <c r="J270" s="14"/>
      <c r="K270" s="14"/>
      <c r="L270" s="14"/>
      <c r="M270" s="14"/>
      <c r="N270" s="14"/>
      <c r="O270" s="14"/>
      <c r="P270" s="14"/>
      <c r="Q270" s="14"/>
      <c r="R270" s="14"/>
      <c r="S270" s="14"/>
      <c r="T270" s="14"/>
      <c r="U270" s="14"/>
      <c r="V270" s="14"/>
      <c r="W270" s="14"/>
      <c r="X270" s="14"/>
      <c r="Y270" s="14"/>
      <c r="Z270" s="14"/>
      <c r="AA270" s="14"/>
      <c r="AB270" s="14"/>
    </row>
    <row r="271" spans="1:28" ht="15.75" hidden="1" x14ac:dyDescent="0.25">
      <c r="A271" s="14"/>
      <c r="B271" s="216" t="s">
        <v>336</v>
      </c>
      <c r="C271" s="67"/>
      <c r="D271" s="175" t="b">
        <v>1</v>
      </c>
      <c r="E271" s="67"/>
      <c r="F271" s="211"/>
      <c r="G271" s="14"/>
      <c r="H271" s="14"/>
      <c r="I271" s="14"/>
      <c r="J271" s="14"/>
      <c r="K271" s="14"/>
      <c r="L271" s="14"/>
      <c r="M271" s="14"/>
      <c r="N271" s="14"/>
      <c r="O271" s="14"/>
      <c r="P271" s="14"/>
      <c r="Q271" s="14"/>
      <c r="R271" s="14"/>
      <c r="S271" s="14"/>
      <c r="T271" s="14"/>
      <c r="U271" s="14"/>
      <c r="V271" s="14"/>
      <c r="W271" s="14"/>
      <c r="X271" s="14"/>
      <c r="Y271" s="14"/>
      <c r="Z271" s="14"/>
      <c r="AA271" s="14"/>
      <c r="AB271" s="14"/>
    </row>
    <row r="272" spans="1:28" ht="15.75" hidden="1" x14ac:dyDescent="0.25">
      <c r="A272" s="14"/>
      <c r="B272" s="216" t="s">
        <v>333</v>
      </c>
      <c r="C272" s="67"/>
      <c r="D272" s="175" t="b">
        <v>0</v>
      </c>
      <c r="E272" s="67"/>
      <c r="F272" s="211"/>
      <c r="G272" s="14"/>
      <c r="H272" s="14"/>
      <c r="I272" s="14"/>
      <c r="J272" s="14"/>
      <c r="K272" s="14"/>
      <c r="L272" s="14"/>
      <c r="M272" s="14"/>
      <c r="N272" s="14"/>
      <c r="O272" s="14"/>
      <c r="P272" s="14"/>
      <c r="Q272" s="14"/>
      <c r="R272" s="14"/>
      <c r="S272" s="14"/>
      <c r="T272" s="14"/>
      <c r="U272" s="14"/>
      <c r="V272" s="14"/>
      <c r="W272" s="14"/>
      <c r="X272" s="14"/>
      <c r="Y272" s="14"/>
      <c r="Z272" s="14"/>
      <c r="AA272" s="14"/>
      <c r="AB272" s="14"/>
    </row>
    <row r="273" spans="1:28" ht="15.75" x14ac:dyDescent="0.25">
      <c r="A273" s="14"/>
      <c r="B273" s="217" t="s">
        <v>97</v>
      </c>
      <c r="C273" s="29"/>
      <c r="D273" s="221"/>
      <c r="E273" s="32" t="s">
        <v>225</v>
      </c>
      <c r="F273" s="211"/>
      <c r="G273" s="14"/>
      <c r="H273" s="14"/>
      <c r="I273" s="14"/>
      <c r="J273" s="14"/>
      <c r="K273" s="14"/>
      <c r="L273" s="14"/>
      <c r="M273" s="14"/>
      <c r="N273" s="14"/>
      <c r="O273" s="14"/>
      <c r="P273" s="14"/>
      <c r="Q273" s="14"/>
      <c r="R273" s="14"/>
      <c r="S273" s="14"/>
      <c r="T273" s="14"/>
      <c r="U273" s="14"/>
      <c r="V273" s="14"/>
      <c r="W273" s="14"/>
      <c r="X273" s="14"/>
      <c r="Y273" s="14"/>
      <c r="Z273" s="14"/>
      <c r="AA273" s="14"/>
      <c r="AB273" s="14"/>
    </row>
    <row r="274" spans="1:28" ht="15.75" x14ac:dyDescent="0.25">
      <c r="A274" s="14"/>
      <c r="B274" s="217" t="s">
        <v>244</v>
      </c>
      <c r="C274" s="29"/>
      <c r="D274" s="197"/>
      <c r="E274" s="177" t="s">
        <v>247</v>
      </c>
      <c r="F274" s="211"/>
      <c r="G274" s="14"/>
      <c r="H274" s="14"/>
      <c r="I274" s="14"/>
      <c r="J274" s="14"/>
      <c r="K274" s="14"/>
      <c r="L274" s="14"/>
      <c r="M274" s="14"/>
      <c r="N274" s="14"/>
      <c r="O274" s="14"/>
      <c r="P274" s="14"/>
      <c r="Q274" s="14"/>
      <c r="R274" s="14"/>
      <c r="S274" s="14"/>
      <c r="T274" s="14"/>
      <c r="U274" s="14"/>
      <c r="V274" s="14"/>
      <c r="W274" s="14"/>
      <c r="X274" s="14"/>
      <c r="Y274" s="14"/>
      <c r="Z274" s="14"/>
      <c r="AA274" s="14"/>
      <c r="AB274" s="14"/>
    </row>
    <row r="275" spans="1:28" ht="15.75" x14ac:dyDescent="0.25">
      <c r="A275" s="14"/>
      <c r="B275" s="217" t="s">
        <v>249</v>
      </c>
      <c r="C275" s="29"/>
      <c r="D275" s="198"/>
      <c r="E275" s="218"/>
      <c r="F275" s="211"/>
      <c r="G275" s="14"/>
      <c r="H275" s="14"/>
      <c r="I275" s="14"/>
      <c r="J275" s="14"/>
      <c r="K275" s="14"/>
      <c r="L275" s="14"/>
      <c r="M275" s="14"/>
      <c r="N275" s="14"/>
      <c r="O275" s="14"/>
      <c r="P275" s="14"/>
      <c r="Q275" s="14"/>
      <c r="R275" s="14"/>
      <c r="S275" s="14"/>
      <c r="T275" s="14"/>
      <c r="U275" s="14"/>
      <c r="V275" s="14"/>
      <c r="W275" s="14"/>
      <c r="X275" s="14"/>
      <c r="Y275" s="14"/>
      <c r="Z275" s="14"/>
      <c r="AA275" s="14"/>
      <c r="AB275" s="14"/>
    </row>
    <row r="276" spans="1:28" ht="15.75" x14ac:dyDescent="0.25">
      <c r="A276" s="14"/>
      <c r="B276" s="124" t="s">
        <v>332</v>
      </c>
      <c r="C276" s="29"/>
      <c r="D276" s="221"/>
      <c r="E276" s="219" t="s">
        <v>252</v>
      </c>
      <c r="F276" s="211"/>
      <c r="G276" s="14"/>
      <c r="H276" s="14"/>
      <c r="I276" s="14"/>
      <c r="J276" s="14"/>
      <c r="K276" s="14"/>
      <c r="L276" s="14"/>
      <c r="M276" s="14"/>
      <c r="N276" s="14"/>
      <c r="O276" s="14"/>
      <c r="P276" s="14"/>
      <c r="Q276" s="14"/>
      <c r="R276" s="14"/>
      <c r="S276" s="14"/>
      <c r="T276" s="14"/>
      <c r="U276" s="14"/>
      <c r="V276" s="14"/>
      <c r="W276" s="14"/>
      <c r="X276" s="14"/>
      <c r="Y276" s="14"/>
      <c r="Z276" s="14"/>
      <c r="AA276" s="14"/>
      <c r="AB276" s="14"/>
    </row>
    <row r="277" spans="1:28" ht="15.75" x14ac:dyDescent="0.25">
      <c r="A277" s="14"/>
      <c r="B277" s="26" t="s">
        <v>341</v>
      </c>
      <c r="C277" s="29"/>
      <c r="D277" s="223">
        <v>1E-3</v>
      </c>
      <c r="E277" s="219" t="s">
        <v>19</v>
      </c>
      <c r="F277" s="211"/>
      <c r="G277" s="14"/>
      <c r="H277" s="14"/>
      <c r="I277" s="14"/>
      <c r="J277" s="14"/>
      <c r="K277" s="14"/>
      <c r="L277" s="14"/>
      <c r="M277" s="14"/>
      <c r="N277" s="14"/>
      <c r="O277" s="14"/>
      <c r="P277" s="14"/>
      <c r="Q277" s="14"/>
      <c r="R277" s="14"/>
      <c r="S277" s="14"/>
      <c r="T277" s="14"/>
      <c r="U277" s="14"/>
      <c r="V277" s="14"/>
      <c r="W277" s="14"/>
      <c r="X277" s="14"/>
      <c r="Y277" s="14"/>
      <c r="Z277" s="14"/>
      <c r="AA277" s="14"/>
      <c r="AB277" s="14"/>
    </row>
    <row r="278" spans="1:28" s="3" customFormat="1" ht="15.75" x14ac:dyDescent="0.25">
      <c r="A278" s="162"/>
      <c r="B278" s="26" t="s">
        <v>342</v>
      </c>
      <c r="C278" s="29"/>
      <c r="D278" s="224"/>
      <c r="E278" s="219" t="s">
        <v>252</v>
      </c>
      <c r="F278" s="212"/>
      <c r="G278" s="14"/>
      <c r="H278" s="14"/>
      <c r="I278" s="162"/>
      <c r="J278" s="162"/>
      <c r="K278" s="162"/>
      <c r="L278" s="162"/>
      <c r="M278" s="162"/>
      <c r="N278" s="162"/>
      <c r="O278" s="162"/>
      <c r="P278" s="162"/>
      <c r="Q278" s="162"/>
      <c r="R278" s="162"/>
      <c r="S278" s="162"/>
      <c r="T278" s="162"/>
      <c r="U278" s="162"/>
      <c r="V278" s="162"/>
      <c r="W278" s="162"/>
      <c r="X278" s="162"/>
      <c r="Y278" s="162"/>
      <c r="Z278" s="162"/>
      <c r="AA278" s="162"/>
      <c r="AB278" s="162"/>
    </row>
    <row r="279" spans="1:28" s="3" customFormat="1" ht="15.75" x14ac:dyDescent="0.25">
      <c r="A279" s="162"/>
      <c r="B279" s="26" t="s">
        <v>335</v>
      </c>
      <c r="C279" s="29"/>
      <c r="D279" s="222"/>
      <c r="E279" s="219" t="s">
        <v>334</v>
      </c>
      <c r="F279" s="164"/>
      <c r="G279" s="14"/>
      <c r="H279" s="14"/>
      <c r="I279" s="162"/>
      <c r="J279" s="162"/>
      <c r="K279" s="162"/>
      <c r="L279" s="162"/>
      <c r="M279" s="162"/>
      <c r="N279" s="162"/>
      <c r="O279" s="162"/>
      <c r="P279" s="162"/>
      <c r="Q279" s="162"/>
      <c r="R279" s="162"/>
      <c r="S279" s="162"/>
      <c r="T279" s="162"/>
      <c r="U279" s="162"/>
      <c r="V279" s="162"/>
      <c r="W279" s="162"/>
      <c r="X279" s="162"/>
      <c r="Y279" s="162"/>
      <c r="Z279" s="162"/>
      <c r="AA279" s="162"/>
      <c r="AB279" s="162"/>
    </row>
    <row r="280" spans="1:28" hidden="1" x14ac:dyDescent="0.25">
      <c r="A280" s="14"/>
      <c r="B280" s="167" t="s">
        <v>285</v>
      </c>
      <c r="C280" s="167" t="s">
        <v>286</v>
      </c>
      <c r="D280" s="168" t="s">
        <v>287</v>
      </c>
      <c r="E280" s="168" t="s">
        <v>288</v>
      </c>
      <c r="F280" s="168" t="s">
        <v>289</v>
      </c>
      <c r="G280" s="169" t="s">
        <v>290</v>
      </c>
      <c r="H280" s="170" t="s">
        <v>291</v>
      </c>
      <c r="I280" s="14"/>
      <c r="J280" s="14"/>
      <c r="K280" s="14"/>
      <c r="L280" s="14"/>
      <c r="M280" s="14"/>
      <c r="N280" s="14"/>
      <c r="O280" s="14"/>
      <c r="P280" s="14"/>
      <c r="Q280" s="14"/>
      <c r="R280" s="14"/>
      <c r="S280" s="14"/>
      <c r="T280" s="14"/>
      <c r="U280" s="14"/>
      <c r="V280" s="14"/>
      <c r="W280" s="14"/>
      <c r="X280" s="14"/>
      <c r="Y280" s="14"/>
      <c r="Z280" s="14"/>
      <c r="AA280" s="14"/>
      <c r="AB280" s="14"/>
    </row>
    <row r="281" spans="1:28" hidden="1" x14ac:dyDescent="0.25">
      <c r="A281" s="14"/>
      <c r="B281" s="171" t="s">
        <v>292</v>
      </c>
      <c r="C281" s="171">
        <v>1</v>
      </c>
      <c r="D281" s="172">
        <v>60</v>
      </c>
      <c r="E281" s="172">
        <v>2.5</v>
      </c>
      <c r="F281" s="173">
        <v>100</v>
      </c>
      <c r="G281" s="174">
        <v>0.5</v>
      </c>
      <c r="H281" s="175">
        <v>10</v>
      </c>
      <c r="I281" s="14"/>
      <c r="J281" s="14"/>
      <c r="K281" s="14"/>
      <c r="L281" s="14"/>
      <c r="M281" s="14"/>
      <c r="N281" s="14"/>
      <c r="O281" s="14"/>
      <c r="P281" s="14"/>
      <c r="Q281" s="14"/>
      <c r="R281" s="14"/>
      <c r="S281" s="14"/>
      <c r="T281" s="14"/>
      <c r="U281" s="14"/>
      <c r="V281" s="14"/>
      <c r="W281" s="14"/>
      <c r="X281" s="14"/>
      <c r="Y281" s="14"/>
      <c r="Z281" s="14"/>
      <c r="AA281" s="14"/>
      <c r="AB281" s="14"/>
    </row>
    <row r="282" spans="1:28" hidden="1" x14ac:dyDescent="0.25">
      <c r="A282" s="14"/>
      <c r="B282" s="171" t="s">
        <v>293</v>
      </c>
      <c r="C282" s="171">
        <v>1</v>
      </c>
      <c r="D282" s="172">
        <v>1000</v>
      </c>
      <c r="E282" s="172">
        <v>2.5</v>
      </c>
      <c r="F282" s="173">
        <v>1000</v>
      </c>
      <c r="G282" s="174">
        <v>5.0000000000000001E-3</v>
      </c>
      <c r="H282" s="175">
        <v>5</v>
      </c>
      <c r="I282" s="14"/>
      <c r="J282" s="14"/>
      <c r="K282" s="14"/>
      <c r="L282" s="14"/>
      <c r="M282" s="14"/>
      <c r="N282" s="14"/>
      <c r="O282" s="14"/>
      <c r="P282" s="14"/>
      <c r="Q282" s="14"/>
      <c r="R282" s="14"/>
      <c r="S282" s="14"/>
      <c r="T282" s="14"/>
      <c r="U282" s="14"/>
      <c r="V282" s="14"/>
      <c r="W282" s="14"/>
      <c r="X282" s="14"/>
      <c r="Y282" s="14"/>
      <c r="Z282" s="14"/>
      <c r="AA282" s="14"/>
      <c r="AB282" s="14"/>
    </row>
    <row r="283" spans="1:28" hidden="1" x14ac:dyDescent="0.25">
      <c r="A283" s="14"/>
      <c r="B283" s="171" t="s">
        <v>2</v>
      </c>
      <c r="C283" s="171">
        <v>0.25</v>
      </c>
      <c r="D283" s="172">
        <v>500</v>
      </c>
      <c r="E283" s="172">
        <v>2.5</v>
      </c>
      <c r="F283" s="173">
        <v>1000</v>
      </c>
      <c r="G283" s="174">
        <v>1E-3</v>
      </c>
      <c r="H283" s="175">
        <v>10</v>
      </c>
      <c r="I283" s="14"/>
      <c r="J283" s="14"/>
      <c r="K283" s="14"/>
      <c r="L283" s="14"/>
      <c r="M283" s="14"/>
      <c r="N283" s="14"/>
      <c r="O283" s="14"/>
      <c r="P283" s="14"/>
      <c r="Q283" s="14"/>
      <c r="R283" s="14"/>
      <c r="S283" s="14"/>
      <c r="T283" s="14"/>
      <c r="U283" s="14"/>
      <c r="V283" s="14"/>
      <c r="W283" s="14"/>
      <c r="X283" s="14"/>
      <c r="Y283" s="14"/>
      <c r="Z283" s="14"/>
      <c r="AA283" s="14"/>
      <c r="AB283" s="14"/>
    </row>
    <row r="284" spans="1:28" hidden="1" x14ac:dyDescent="0.25">
      <c r="A284" s="14"/>
      <c r="B284" s="171" t="s">
        <v>294</v>
      </c>
      <c r="C284" s="171">
        <v>0.25</v>
      </c>
      <c r="D284" s="172">
        <v>500</v>
      </c>
      <c r="E284" s="172">
        <v>2.5</v>
      </c>
      <c r="F284" s="173">
        <v>1000</v>
      </c>
      <c r="G284" s="174">
        <v>1E-3</v>
      </c>
      <c r="H284" s="175">
        <v>10</v>
      </c>
      <c r="I284" s="14"/>
      <c r="J284" s="14"/>
      <c r="K284" s="14"/>
      <c r="L284" s="14"/>
      <c r="M284" s="14"/>
      <c r="N284" s="14"/>
      <c r="O284" s="14"/>
      <c r="P284" s="14"/>
      <c r="Q284" s="14"/>
      <c r="R284" s="14"/>
      <c r="S284" s="14"/>
      <c r="T284" s="14"/>
      <c r="U284" s="14"/>
      <c r="V284" s="14"/>
      <c r="W284" s="14"/>
      <c r="X284" s="14"/>
      <c r="Y284" s="14"/>
      <c r="Z284" s="14"/>
      <c r="AA284" s="14"/>
      <c r="AB284" s="14"/>
    </row>
    <row r="285" spans="1:28" hidden="1" x14ac:dyDescent="0.25">
      <c r="A285" s="14"/>
      <c r="B285" s="171" t="s">
        <v>295</v>
      </c>
      <c r="C285" s="171">
        <v>0.01</v>
      </c>
      <c r="D285" s="172">
        <v>500</v>
      </c>
      <c r="E285" s="172">
        <v>1</v>
      </c>
      <c r="F285" s="173">
        <v>1000</v>
      </c>
      <c r="G285" s="174">
        <v>0.3</v>
      </c>
      <c r="H285" s="175">
        <v>19</v>
      </c>
      <c r="I285" s="14"/>
      <c r="J285" s="14"/>
      <c r="K285" s="14"/>
      <c r="L285" s="14"/>
      <c r="M285" s="14"/>
      <c r="N285" s="14"/>
      <c r="O285" s="14"/>
      <c r="P285" s="14"/>
      <c r="Q285" s="14"/>
      <c r="R285" s="14"/>
      <c r="S285" s="14"/>
      <c r="T285" s="14"/>
      <c r="U285" s="14"/>
      <c r="V285" s="14"/>
      <c r="W285" s="14"/>
      <c r="X285" s="14"/>
      <c r="Y285" s="14"/>
      <c r="Z285" s="14"/>
      <c r="AA285" s="14"/>
      <c r="AB285" s="14"/>
    </row>
    <row r="286" spans="1:28" hidden="1" x14ac:dyDescent="0.25">
      <c r="A286" s="14"/>
      <c r="B286" s="171" t="s">
        <v>296</v>
      </c>
      <c r="C286" s="171">
        <v>0.35</v>
      </c>
      <c r="D286" s="172">
        <v>10</v>
      </c>
      <c r="E286" s="172">
        <v>5</v>
      </c>
      <c r="F286" s="173">
        <v>30</v>
      </c>
      <c r="G286" s="174">
        <v>1</v>
      </c>
      <c r="H286" s="175">
        <v>30</v>
      </c>
      <c r="I286" s="14"/>
      <c r="J286" s="14"/>
      <c r="K286" s="14"/>
      <c r="L286" s="14"/>
      <c r="M286" s="14"/>
      <c r="N286" s="14"/>
      <c r="O286" s="14"/>
      <c r="P286" s="14"/>
      <c r="Q286" s="14"/>
      <c r="R286" s="14"/>
      <c r="S286" s="14"/>
      <c r="T286" s="14"/>
      <c r="U286" s="14"/>
      <c r="V286" s="14"/>
      <c r="W286" s="14"/>
      <c r="X286" s="14"/>
      <c r="Y286" s="14"/>
      <c r="Z286" s="14"/>
      <c r="AA286" s="14"/>
      <c r="AB286" s="14"/>
    </row>
    <row r="287" spans="1:28" hidden="1" x14ac:dyDescent="0.25">
      <c r="A287" s="14"/>
      <c r="B287" s="171" t="s">
        <v>354</v>
      </c>
      <c r="C287" s="171">
        <v>0.35</v>
      </c>
      <c r="D287" s="172">
        <v>10</v>
      </c>
      <c r="E287" s="172">
        <v>5</v>
      </c>
      <c r="F287" s="173">
        <v>30</v>
      </c>
      <c r="G287" s="174">
        <v>5</v>
      </c>
      <c r="H287" s="175">
        <v>30</v>
      </c>
      <c r="I287" s="14"/>
      <c r="J287" s="14"/>
      <c r="K287" s="14"/>
      <c r="L287" s="14"/>
      <c r="M287" s="14"/>
      <c r="N287" s="14"/>
      <c r="O287" s="14"/>
      <c r="P287" s="14"/>
      <c r="Q287" s="14"/>
      <c r="R287" s="14"/>
      <c r="S287" s="14"/>
      <c r="T287" s="14"/>
      <c r="U287" s="14"/>
      <c r="V287" s="14"/>
      <c r="W287" s="14"/>
      <c r="X287" s="14"/>
      <c r="Y287" s="14"/>
      <c r="Z287" s="14"/>
      <c r="AA287" s="14"/>
      <c r="AB287" s="14"/>
    </row>
    <row r="288" spans="1:28" hidden="1" x14ac:dyDescent="0.25">
      <c r="A288" s="14"/>
      <c r="B288" s="165"/>
      <c r="C288" s="165"/>
      <c r="D288" s="166"/>
      <c r="E288" s="166"/>
      <c r="F288" s="164"/>
      <c r="G288" s="14"/>
      <c r="H288" s="14"/>
      <c r="I288" s="14"/>
      <c r="J288" s="14"/>
      <c r="K288" s="14"/>
      <c r="L288" s="14"/>
      <c r="M288" s="14"/>
      <c r="N288" s="14"/>
      <c r="O288" s="14"/>
      <c r="P288" s="14"/>
      <c r="Q288" s="14"/>
      <c r="R288" s="14"/>
      <c r="S288" s="14"/>
      <c r="T288" s="14"/>
      <c r="U288" s="14"/>
      <c r="V288" s="14"/>
      <c r="W288" s="14"/>
      <c r="X288" s="14"/>
      <c r="Y288" s="14"/>
      <c r="Z288" s="14"/>
      <c r="AA288" s="14"/>
      <c r="AB288" s="14"/>
    </row>
    <row r="289" spans="1:28" ht="18" hidden="1" x14ac:dyDescent="0.35">
      <c r="A289" s="14"/>
      <c r="B289" s="171" t="s">
        <v>297</v>
      </c>
      <c r="C289" s="165" t="s">
        <v>298</v>
      </c>
      <c r="D289" s="166"/>
      <c r="E289" s="166"/>
      <c r="F289" s="164"/>
      <c r="G289" s="14"/>
      <c r="H289" s="14"/>
      <c r="I289" s="14"/>
      <c r="J289" s="14"/>
      <c r="K289" s="14"/>
      <c r="L289" s="14"/>
      <c r="M289" s="14"/>
      <c r="N289" s="14"/>
      <c r="O289" s="14"/>
      <c r="P289" s="14"/>
      <c r="Q289" s="14"/>
      <c r="R289" s="14"/>
      <c r="S289" s="14"/>
      <c r="T289" s="14"/>
      <c r="U289" s="14"/>
      <c r="V289" s="14"/>
      <c r="W289" s="14"/>
      <c r="X289" s="14"/>
      <c r="Y289" s="14"/>
      <c r="Z289" s="14"/>
      <c r="AA289" s="14"/>
      <c r="AB289" s="14"/>
    </row>
    <row r="290" spans="1:28" hidden="1" x14ac:dyDescent="0.25">
      <c r="A290" s="14"/>
      <c r="B290" s="165"/>
      <c r="C290" s="165"/>
      <c r="D290" s="166"/>
      <c r="E290" s="166"/>
      <c r="F290" s="164"/>
      <c r="G290" s="14"/>
      <c r="H290" s="14"/>
      <c r="I290" s="14"/>
      <c r="J290" s="14"/>
      <c r="K290" s="14"/>
      <c r="L290" s="14"/>
      <c r="M290" s="14"/>
      <c r="N290" s="14"/>
      <c r="O290" s="14"/>
      <c r="P290" s="14"/>
      <c r="Q290" s="14"/>
      <c r="R290" s="14"/>
      <c r="S290" s="14"/>
      <c r="T290" s="14"/>
      <c r="U290" s="14"/>
      <c r="V290" s="14"/>
      <c r="W290" s="14"/>
      <c r="X290" s="14"/>
      <c r="Y290" s="14"/>
      <c r="Z290" s="14"/>
      <c r="AA290" s="14"/>
      <c r="AB290" s="14"/>
    </row>
    <row r="291" spans="1:28" hidden="1" x14ac:dyDescent="0.25">
      <c r="A291" s="14"/>
      <c r="B291" s="165"/>
      <c r="C291" s="165"/>
      <c r="D291" s="166"/>
      <c r="E291" s="166"/>
      <c r="F291" s="164"/>
      <c r="G291" s="14"/>
      <c r="H291" s="14"/>
      <c r="I291" s="14"/>
      <c r="J291" s="14"/>
      <c r="K291" s="14"/>
      <c r="L291" s="14"/>
      <c r="M291" s="14"/>
      <c r="N291" s="14"/>
      <c r="O291" s="14"/>
      <c r="P291" s="14"/>
      <c r="Q291" s="14"/>
      <c r="R291" s="14"/>
      <c r="S291" s="14"/>
      <c r="T291" s="14"/>
      <c r="U291" s="14"/>
      <c r="V291" s="14"/>
      <c r="W291" s="14"/>
      <c r="X291" s="14"/>
      <c r="Y291" s="14"/>
      <c r="Z291" s="14"/>
      <c r="AA291" s="14"/>
      <c r="AB291" s="14"/>
    </row>
    <row r="292" spans="1:28" hidden="1" x14ac:dyDescent="0.25">
      <c r="A292" s="14"/>
      <c r="B292" s="14"/>
      <c r="C292" s="14"/>
      <c r="D292" s="162"/>
      <c r="E292" s="162"/>
      <c r="F292" s="163"/>
      <c r="G292" s="14"/>
      <c r="H292" s="14"/>
      <c r="I292" s="14"/>
      <c r="J292" s="14"/>
      <c r="K292" s="14"/>
      <c r="L292" s="14"/>
      <c r="M292" s="14"/>
      <c r="N292" s="14"/>
      <c r="O292" s="14"/>
      <c r="P292" s="14"/>
      <c r="Q292" s="14"/>
      <c r="R292" s="14"/>
      <c r="S292" s="14"/>
      <c r="T292" s="14"/>
      <c r="U292" s="14"/>
      <c r="V292" s="14"/>
      <c r="W292" s="14"/>
      <c r="X292" s="14"/>
      <c r="Y292" s="14"/>
      <c r="Z292" s="14"/>
      <c r="AA292" s="14"/>
      <c r="AB292" s="14"/>
    </row>
    <row r="293" spans="1:28" x14ac:dyDescent="0.25">
      <c r="A293" s="14"/>
      <c r="B293" s="14"/>
      <c r="C293" s="14"/>
      <c r="D293" s="162"/>
      <c r="E293" s="162"/>
      <c r="F293" s="163"/>
      <c r="G293" s="14"/>
      <c r="H293" s="14"/>
      <c r="I293" s="14"/>
      <c r="J293" s="14"/>
      <c r="K293" s="14"/>
      <c r="L293" s="14"/>
      <c r="M293" s="14"/>
      <c r="N293" s="14"/>
      <c r="O293" s="14"/>
      <c r="P293" s="14"/>
      <c r="Q293" s="14"/>
      <c r="R293" s="14"/>
      <c r="S293" s="14"/>
      <c r="T293" s="14"/>
      <c r="U293" s="14"/>
      <c r="V293" s="14"/>
      <c r="W293" s="14"/>
      <c r="X293" s="14"/>
      <c r="Y293" s="14"/>
      <c r="Z293" s="14"/>
      <c r="AA293" s="14"/>
      <c r="AB293" s="14"/>
    </row>
    <row r="294" spans="1:28" ht="15.75" x14ac:dyDescent="0.25">
      <c r="A294" s="14"/>
      <c r="B294" s="180" t="s">
        <v>312</v>
      </c>
      <c r="C294" s="181"/>
      <c r="D294" s="181"/>
      <c r="E294" s="162"/>
      <c r="F294" s="163"/>
      <c r="G294" s="14"/>
      <c r="H294" s="14"/>
      <c r="I294" s="14"/>
      <c r="J294" s="14"/>
      <c r="K294" s="14"/>
      <c r="L294" s="14"/>
      <c r="M294" s="14"/>
      <c r="N294" s="14"/>
      <c r="O294" s="14"/>
      <c r="P294" s="14"/>
      <c r="Q294" s="14"/>
      <c r="R294" s="14"/>
      <c r="S294" s="14"/>
      <c r="T294" s="14"/>
      <c r="U294" s="14"/>
      <c r="V294" s="14"/>
      <c r="W294" s="14"/>
      <c r="X294" s="14"/>
      <c r="Y294" s="14"/>
      <c r="Z294" s="14"/>
      <c r="AA294" s="14"/>
      <c r="AB294" s="14"/>
    </row>
    <row r="295" spans="1:28" x14ac:dyDescent="0.25">
      <c r="A295" s="14"/>
      <c r="B295" s="182" t="str">
        <f>IF(B297="L","fsensor","L")</f>
        <v>L</v>
      </c>
      <c r="C295" s="183">
        <v>8</v>
      </c>
      <c r="D295" s="184" t="str">
        <f>IF(B295="fsensor","MHz","µH")</f>
        <v>µH</v>
      </c>
      <c r="E295" s="162"/>
      <c r="F295" s="163"/>
      <c r="G295" s="14"/>
      <c r="H295" s="14"/>
      <c r="I295" s="14"/>
      <c r="J295" s="14"/>
      <c r="K295" s="14"/>
      <c r="L295" s="14"/>
      <c r="M295" s="14"/>
      <c r="N295" s="14"/>
      <c r="O295" s="14"/>
      <c r="P295" s="14"/>
      <c r="Q295" s="14"/>
      <c r="R295" s="14"/>
      <c r="S295" s="14"/>
      <c r="T295" s="14"/>
      <c r="U295" s="14"/>
      <c r="V295" s="14"/>
      <c r="W295" s="14"/>
      <c r="X295" s="14"/>
      <c r="Y295" s="14"/>
      <c r="Z295" s="14"/>
      <c r="AA295" s="14"/>
      <c r="AB295" s="14"/>
    </row>
    <row r="296" spans="1:28" x14ac:dyDescent="0.25">
      <c r="A296" s="14"/>
      <c r="B296" s="182" t="str">
        <f>IF(B297="C","fsensor","C")</f>
        <v>C</v>
      </c>
      <c r="C296" s="183">
        <v>220</v>
      </c>
      <c r="D296" s="185" t="str">
        <f>IF(B296="fsensor","MHz","pF")</f>
        <v>pF</v>
      </c>
      <c r="E296" s="162"/>
      <c r="F296" s="163"/>
      <c r="G296" s="14"/>
      <c r="H296" s="14"/>
      <c r="I296" s="14"/>
      <c r="J296" s="14"/>
      <c r="K296" s="14"/>
      <c r="L296" s="14"/>
      <c r="M296" s="14"/>
      <c r="N296" s="14"/>
      <c r="O296" s="14"/>
      <c r="P296" s="14"/>
      <c r="Q296" s="14"/>
      <c r="R296" s="14"/>
      <c r="S296" s="14"/>
      <c r="T296" s="14"/>
      <c r="U296" s="14"/>
      <c r="V296" s="14"/>
      <c r="W296" s="14"/>
      <c r="X296" s="14"/>
      <c r="Y296" s="14"/>
      <c r="Z296" s="14"/>
      <c r="AA296" s="14"/>
      <c r="AB296" s="14"/>
    </row>
    <row r="297" spans="1:28" x14ac:dyDescent="0.25">
      <c r="A297" s="14"/>
      <c r="B297" s="186" t="s">
        <v>313</v>
      </c>
      <c r="C297" s="225">
        <f>IF(B297="fsensor",0.000001/(2*PI()*SQRT(C295*0.000001*C296*0.000000000001)),IF(B297="C",1000000000000/((C295*0.000001)*(2*PI()*C296*1000000)^2),1000000/((C296*0.000000000001)*(2*PI()*C295*1000000)^2)))</f>
        <v>3.7937071032908358</v>
      </c>
      <c r="D297" s="182" t="str">
        <f>IF(B297="fsensor","MHz",IF(B297="L","µH","pF"))</f>
        <v>MHz</v>
      </c>
      <c r="E297" s="162"/>
      <c r="F297" s="163"/>
      <c r="G297" s="14"/>
      <c r="H297" s="14"/>
      <c r="I297" s="14"/>
      <c r="J297" s="14"/>
      <c r="K297" s="14"/>
      <c r="L297" s="14"/>
      <c r="M297" s="14"/>
      <c r="N297" s="14"/>
      <c r="O297" s="14"/>
      <c r="P297" s="14"/>
      <c r="Q297" s="14"/>
      <c r="R297" s="14"/>
      <c r="S297" s="14"/>
      <c r="T297" s="14"/>
      <c r="U297" s="14"/>
      <c r="V297" s="14"/>
      <c r="W297" s="14"/>
      <c r="X297" s="14"/>
      <c r="Y297" s="14"/>
      <c r="Z297" s="14"/>
      <c r="AA297" s="14"/>
      <c r="AB297" s="14"/>
    </row>
    <row r="298" spans="1:28" x14ac:dyDescent="0.25">
      <c r="A298" s="14"/>
      <c r="B298" s="187"/>
      <c r="D298" s="2"/>
      <c r="E298" s="162"/>
      <c r="F298" s="163"/>
      <c r="G298" s="14"/>
      <c r="H298" s="14"/>
      <c r="I298" s="14"/>
      <c r="J298" s="14"/>
      <c r="K298" s="14"/>
      <c r="L298" s="14"/>
      <c r="M298" s="14"/>
      <c r="N298" s="14"/>
      <c r="O298" s="14"/>
      <c r="P298" s="14"/>
      <c r="Q298" s="14"/>
      <c r="R298" s="14"/>
      <c r="S298" s="14"/>
      <c r="T298" s="14"/>
      <c r="U298" s="14"/>
      <c r="V298" s="14"/>
      <c r="W298" s="14"/>
      <c r="X298" s="14"/>
      <c r="Y298" s="14"/>
      <c r="Z298" s="14"/>
      <c r="AA298" s="14"/>
      <c r="AB298" s="14"/>
    </row>
    <row r="299" spans="1:28" ht="15.75" x14ac:dyDescent="0.25">
      <c r="A299" s="14"/>
      <c r="B299" s="180" t="s">
        <v>314</v>
      </c>
      <c r="D299" s="2"/>
      <c r="E299" s="162"/>
      <c r="F299" s="163"/>
      <c r="G299" s="14"/>
      <c r="H299" s="14"/>
      <c r="I299" s="14"/>
      <c r="J299" s="14"/>
      <c r="K299" s="14"/>
      <c r="L299" s="14"/>
      <c r="M299" s="14"/>
      <c r="N299" s="14"/>
      <c r="O299" s="14"/>
      <c r="P299" s="14"/>
      <c r="Q299" s="14"/>
      <c r="R299" s="14"/>
      <c r="S299" s="14"/>
      <c r="T299" s="14"/>
      <c r="U299" s="14"/>
      <c r="V299" s="14"/>
      <c r="W299" s="14"/>
      <c r="X299" s="14"/>
      <c r="Y299" s="14"/>
      <c r="Z299" s="14"/>
      <c r="AA299" s="14"/>
      <c r="AB299" s="14"/>
    </row>
    <row r="300" spans="1:28" x14ac:dyDescent="0.25">
      <c r="A300" s="14"/>
      <c r="B300" s="188" t="s">
        <v>97</v>
      </c>
      <c r="C300" s="189">
        <v>8</v>
      </c>
      <c r="D300" s="190" t="s">
        <v>108</v>
      </c>
      <c r="E300" s="162"/>
      <c r="F300" s="163"/>
      <c r="G300" s="14"/>
      <c r="H300" s="14"/>
      <c r="I300" s="14"/>
      <c r="J300" s="14"/>
      <c r="K300" s="14"/>
      <c r="L300" s="14"/>
      <c r="M300" s="14"/>
      <c r="N300" s="14"/>
      <c r="O300" s="14"/>
      <c r="P300" s="14"/>
      <c r="Q300" s="14"/>
      <c r="R300" s="14"/>
      <c r="S300" s="14"/>
      <c r="T300" s="14"/>
      <c r="U300" s="14"/>
      <c r="V300" s="14"/>
      <c r="W300" s="14"/>
      <c r="X300" s="14"/>
      <c r="Y300" s="14"/>
      <c r="Z300" s="14"/>
      <c r="AA300" s="14"/>
      <c r="AB300" s="14"/>
    </row>
    <row r="301" spans="1:28" x14ac:dyDescent="0.25">
      <c r="A301" s="14"/>
      <c r="B301" s="188" t="s">
        <v>8</v>
      </c>
      <c r="C301" s="189">
        <v>220</v>
      </c>
      <c r="D301" s="182" t="s">
        <v>9</v>
      </c>
      <c r="E301" s="162"/>
      <c r="F301" s="163"/>
      <c r="G301" s="14"/>
      <c r="H301" s="14"/>
      <c r="I301" s="14"/>
      <c r="J301" s="14"/>
      <c r="K301" s="14"/>
      <c r="L301" s="14"/>
      <c r="M301" s="14"/>
      <c r="N301" s="14"/>
      <c r="O301" s="14"/>
      <c r="P301" s="14"/>
      <c r="Q301" s="14"/>
      <c r="R301" s="14"/>
      <c r="S301" s="14"/>
      <c r="T301" s="14"/>
      <c r="U301" s="14"/>
      <c r="V301" s="14"/>
      <c r="W301" s="14"/>
      <c r="X301" s="14"/>
      <c r="Y301" s="14"/>
      <c r="Z301" s="14"/>
      <c r="AA301" s="14"/>
      <c r="AB301" s="14"/>
    </row>
    <row r="302" spans="1:28" x14ac:dyDescent="0.25">
      <c r="A302" s="14"/>
      <c r="B302" s="188" t="str">
        <f>IF(B303="Rp","Rs","Rp")</f>
        <v>Rs</v>
      </c>
      <c r="C302" s="189">
        <v>8</v>
      </c>
      <c r="D302" s="190" t="str">
        <f>IF(B303="Rp","Ω","kΩ")</f>
        <v>Ω</v>
      </c>
      <c r="E302" s="162"/>
      <c r="F302" s="163"/>
      <c r="G302" s="14"/>
      <c r="H302" s="14"/>
      <c r="I302" s="14"/>
      <c r="J302" s="14"/>
      <c r="K302" s="14"/>
      <c r="L302" s="14"/>
      <c r="M302" s="14"/>
      <c r="N302" s="14"/>
      <c r="O302" s="14"/>
      <c r="P302" s="14"/>
      <c r="Q302" s="14"/>
      <c r="R302" s="14"/>
      <c r="S302" s="14"/>
      <c r="T302" s="14"/>
      <c r="U302" s="14"/>
      <c r="V302" s="14"/>
      <c r="W302" s="14"/>
      <c r="X302" s="14"/>
      <c r="Y302" s="14"/>
      <c r="Z302" s="14"/>
      <c r="AA302" s="14"/>
      <c r="AB302" s="14"/>
    </row>
    <row r="303" spans="1:28" x14ac:dyDescent="0.25">
      <c r="A303" s="14"/>
      <c r="B303" s="191" t="s">
        <v>244</v>
      </c>
      <c r="C303" s="192">
        <f>1000/C302*C300/C301</f>
        <v>4.5454545454545459</v>
      </c>
      <c r="D303" s="182" t="str">
        <f>IF(B303="Rp","kΩ","Ω")</f>
        <v>kΩ</v>
      </c>
      <c r="E303" s="162"/>
      <c r="F303" s="163"/>
      <c r="G303" s="14"/>
      <c r="H303" s="14"/>
      <c r="I303" s="14"/>
      <c r="J303" s="14"/>
      <c r="K303" s="14"/>
      <c r="L303" s="14"/>
      <c r="M303" s="14"/>
      <c r="N303" s="14"/>
      <c r="O303" s="14"/>
      <c r="P303" s="14"/>
      <c r="Q303" s="14"/>
      <c r="R303" s="14"/>
      <c r="S303" s="14"/>
      <c r="T303" s="14"/>
      <c r="U303" s="14"/>
      <c r="V303" s="14"/>
      <c r="W303" s="14"/>
      <c r="X303" s="14"/>
      <c r="Y303" s="14"/>
      <c r="Z303" s="14"/>
      <c r="AA303" s="14"/>
      <c r="AB303" s="14"/>
    </row>
    <row r="304" spans="1:28" x14ac:dyDescent="0.25">
      <c r="A304" s="14"/>
      <c r="B304" s="188" t="s">
        <v>313</v>
      </c>
      <c r="C304" s="193">
        <f>(0.000001/(2*PI()*SQRT(C300*0.000001*C301*0.000000000001)))</f>
        <v>3.7937071032908358</v>
      </c>
      <c r="D304" s="182" t="s">
        <v>252</v>
      </c>
      <c r="E304" s="162"/>
      <c r="F304" s="163"/>
      <c r="G304" s="14"/>
      <c r="H304" s="14"/>
      <c r="I304" s="14"/>
      <c r="J304" s="14"/>
      <c r="K304" s="14"/>
      <c r="L304" s="14"/>
      <c r="M304" s="14"/>
      <c r="N304" s="14"/>
      <c r="O304" s="14"/>
      <c r="P304" s="14"/>
      <c r="Q304" s="14"/>
      <c r="R304" s="14"/>
      <c r="S304" s="14"/>
      <c r="T304" s="14"/>
      <c r="U304" s="14"/>
      <c r="V304" s="14"/>
      <c r="W304" s="14"/>
      <c r="X304" s="14"/>
      <c r="Y304" s="14"/>
      <c r="Z304" s="14"/>
      <c r="AA304" s="14"/>
      <c r="AB304" s="14"/>
    </row>
    <row r="305" spans="1:28" x14ac:dyDescent="0.25">
      <c r="A305" s="14"/>
      <c r="B305" s="188" t="s">
        <v>249</v>
      </c>
      <c r="C305" s="194">
        <f>IF(B303="Rs",(1000/C303)*SQRT(C300/C301),(1000/C302)*SQRT(C300/C301))</f>
        <v>23.836564731139806</v>
      </c>
      <c r="D305" s="195"/>
      <c r="E305" s="162"/>
      <c r="F305" s="163"/>
      <c r="G305" s="14"/>
      <c r="H305" s="14"/>
      <c r="I305" s="14"/>
      <c r="J305" s="14"/>
      <c r="K305" s="14"/>
      <c r="L305" s="14"/>
      <c r="M305" s="14"/>
      <c r="N305" s="14"/>
      <c r="O305" s="14"/>
      <c r="P305" s="14"/>
      <c r="Q305" s="14"/>
      <c r="R305" s="14"/>
      <c r="S305" s="14"/>
      <c r="T305" s="14"/>
      <c r="U305" s="14"/>
      <c r="V305" s="14"/>
      <c r="W305" s="14"/>
      <c r="X305" s="14"/>
      <c r="Y305" s="14"/>
      <c r="Z305" s="14"/>
      <c r="AA305" s="14"/>
      <c r="AB305" s="14"/>
    </row>
    <row r="306" spans="1:28" x14ac:dyDescent="0.25">
      <c r="A306" s="14"/>
      <c r="C306" s="14"/>
      <c r="D306" s="162"/>
      <c r="E306" s="162"/>
      <c r="F306" s="163"/>
      <c r="G306" s="14"/>
      <c r="H306" s="14"/>
      <c r="I306" s="14"/>
      <c r="J306" s="14"/>
      <c r="K306" s="14"/>
      <c r="L306" s="14"/>
      <c r="M306" s="14"/>
      <c r="N306" s="14"/>
      <c r="O306" s="14"/>
      <c r="P306" s="14"/>
      <c r="Q306" s="14"/>
      <c r="R306" s="14"/>
      <c r="S306" s="14"/>
      <c r="T306" s="14"/>
      <c r="U306" s="14"/>
      <c r="V306" s="14"/>
      <c r="W306" s="14"/>
      <c r="X306" s="14"/>
      <c r="Y306" s="14"/>
      <c r="Z306" s="14"/>
      <c r="AA306" s="14"/>
      <c r="AB306" s="14"/>
    </row>
    <row r="307" spans="1:28" x14ac:dyDescent="0.25">
      <c r="A307" s="14"/>
      <c r="C307" s="14"/>
      <c r="D307" s="162"/>
      <c r="E307" s="162"/>
      <c r="F307" s="163"/>
      <c r="G307" s="14"/>
      <c r="H307" s="14"/>
      <c r="I307" s="14"/>
      <c r="J307" s="14"/>
      <c r="K307" s="14"/>
      <c r="L307" s="14"/>
      <c r="M307" s="14"/>
      <c r="N307" s="14"/>
      <c r="O307" s="14"/>
      <c r="P307" s="14"/>
      <c r="Q307" s="14"/>
      <c r="R307" s="14"/>
      <c r="S307" s="14"/>
      <c r="T307" s="14"/>
      <c r="U307" s="14"/>
      <c r="V307" s="14"/>
      <c r="W307" s="14"/>
      <c r="X307" s="14"/>
      <c r="Y307" s="14"/>
      <c r="Z307" s="14"/>
      <c r="AA307" s="14"/>
      <c r="AB307" s="14"/>
    </row>
    <row r="308" spans="1:28" x14ac:dyDescent="0.25">
      <c r="A308" s="14"/>
      <c r="C308" s="14"/>
      <c r="D308" s="162"/>
      <c r="E308" s="162"/>
      <c r="F308" s="163"/>
      <c r="G308" s="14"/>
      <c r="H308" s="14"/>
      <c r="I308" s="14"/>
      <c r="J308" s="14"/>
      <c r="K308" s="14"/>
      <c r="L308" s="14"/>
      <c r="M308" s="14"/>
      <c r="N308" s="14"/>
      <c r="O308" s="14"/>
      <c r="P308" s="14"/>
      <c r="Q308" s="14"/>
      <c r="R308" s="14"/>
      <c r="S308" s="14"/>
      <c r="T308" s="14"/>
      <c r="U308" s="14"/>
      <c r="V308" s="14"/>
      <c r="W308" s="14"/>
      <c r="X308" s="14"/>
      <c r="Y308" s="14"/>
      <c r="Z308" s="14"/>
      <c r="AA308" s="14"/>
      <c r="AB308" s="14"/>
    </row>
    <row r="309" spans="1:28" x14ac:dyDescent="0.25">
      <c r="A309" s="14"/>
      <c r="C309" s="14"/>
      <c r="D309" s="162"/>
      <c r="E309" s="162"/>
      <c r="F309" s="163"/>
      <c r="G309" s="14"/>
      <c r="H309" s="14"/>
      <c r="I309" s="14"/>
      <c r="J309" s="14"/>
      <c r="K309" s="14"/>
      <c r="L309" s="14"/>
      <c r="M309" s="14"/>
      <c r="N309" s="14"/>
      <c r="O309" s="14"/>
      <c r="P309" s="14"/>
      <c r="Q309" s="14"/>
      <c r="R309" s="14"/>
      <c r="S309" s="14"/>
      <c r="T309" s="14"/>
      <c r="U309" s="14"/>
      <c r="V309" s="14"/>
      <c r="W309" s="14"/>
      <c r="X309" s="14"/>
      <c r="Y309" s="14"/>
      <c r="Z309" s="14"/>
      <c r="AA309" s="14"/>
      <c r="AB309" s="14"/>
    </row>
    <row r="310" spans="1:28" x14ac:dyDescent="0.25">
      <c r="A310" s="14"/>
      <c r="C310" s="14"/>
      <c r="D310" s="162"/>
      <c r="E310" s="162"/>
      <c r="F310" s="163"/>
      <c r="G310" s="14"/>
      <c r="H310" s="14"/>
      <c r="I310" s="14"/>
      <c r="J310" s="14"/>
      <c r="K310" s="14"/>
      <c r="L310" s="14"/>
      <c r="M310" s="14"/>
      <c r="N310" s="14"/>
      <c r="O310" s="14"/>
      <c r="P310" s="14"/>
      <c r="Q310" s="14"/>
      <c r="R310" s="14"/>
      <c r="S310" s="14"/>
      <c r="T310" s="14"/>
      <c r="U310" s="14"/>
      <c r="V310" s="14"/>
      <c r="W310" s="14"/>
      <c r="X310" s="14"/>
      <c r="Y310" s="14"/>
      <c r="Z310" s="14"/>
      <c r="AA310" s="14"/>
      <c r="AB310" s="14"/>
    </row>
    <row r="311" spans="1:28" x14ac:dyDescent="0.25">
      <c r="G311" s="14"/>
      <c r="H311" s="14"/>
      <c r="I311" s="14"/>
      <c r="J311" s="14"/>
      <c r="K311" s="14"/>
      <c r="L311" s="14"/>
      <c r="M311" s="14"/>
      <c r="N311" s="14"/>
      <c r="O311" s="14"/>
      <c r="P311" s="14"/>
      <c r="Q311" s="14"/>
      <c r="R311" s="14"/>
      <c r="S311" s="14"/>
      <c r="T311" s="14"/>
      <c r="U311" s="14"/>
      <c r="V311" s="14"/>
      <c r="W311" s="14"/>
      <c r="X311" s="14"/>
      <c r="Y311" s="14"/>
      <c r="Z311" s="14"/>
      <c r="AA311" s="14"/>
      <c r="AB311" s="14"/>
    </row>
    <row r="312" spans="1:28" x14ac:dyDescent="0.25">
      <c r="G312" s="14"/>
      <c r="H312" s="14"/>
      <c r="I312" s="14"/>
      <c r="J312" s="14"/>
      <c r="K312" s="14"/>
      <c r="L312" s="14"/>
      <c r="M312" s="14"/>
      <c r="N312" s="14"/>
      <c r="O312" s="14"/>
      <c r="P312" s="14"/>
      <c r="Q312" s="14"/>
      <c r="R312" s="14"/>
      <c r="S312" s="14"/>
      <c r="T312" s="14"/>
      <c r="U312" s="14"/>
      <c r="V312" s="14"/>
      <c r="W312" s="14"/>
      <c r="X312" s="14"/>
      <c r="Y312" s="14"/>
      <c r="Z312" s="14"/>
      <c r="AA312" s="14"/>
      <c r="AB312" s="14"/>
    </row>
    <row r="313" spans="1:28" x14ac:dyDescent="0.25">
      <c r="G313" s="14"/>
      <c r="H313" s="14"/>
      <c r="I313" s="14"/>
      <c r="J313" s="14"/>
      <c r="K313" s="14"/>
      <c r="L313" s="14"/>
      <c r="M313" s="14"/>
      <c r="N313" s="14"/>
      <c r="O313" s="14"/>
      <c r="P313" s="14"/>
      <c r="Q313" s="14"/>
      <c r="R313" s="14"/>
      <c r="S313" s="14"/>
      <c r="T313" s="14"/>
      <c r="U313" s="14"/>
      <c r="V313" s="14"/>
      <c r="W313" s="14"/>
      <c r="X313" s="14"/>
      <c r="Y313" s="14"/>
      <c r="Z313" s="14"/>
      <c r="AA313" s="14"/>
      <c r="AB313" s="14"/>
    </row>
    <row r="314" spans="1:28" x14ac:dyDescent="0.25">
      <c r="G314" s="14"/>
      <c r="H314" s="14"/>
      <c r="I314" s="14"/>
      <c r="J314" s="14"/>
      <c r="K314" s="14"/>
      <c r="L314" s="14"/>
      <c r="M314" s="14"/>
      <c r="N314" s="14"/>
      <c r="O314" s="14"/>
      <c r="P314" s="14"/>
      <c r="Q314" s="14"/>
      <c r="R314" s="14"/>
      <c r="S314" s="14"/>
      <c r="T314" s="14"/>
      <c r="U314" s="14"/>
      <c r="V314" s="14"/>
      <c r="W314" s="14"/>
      <c r="X314" s="14"/>
      <c r="Y314" s="14"/>
      <c r="Z314" s="14"/>
      <c r="AA314" s="14"/>
      <c r="AB314" s="14"/>
    </row>
    <row r="315" spans="1:28" x14ac:dyDescent="0.25">
      <c r="G315" s="14"/>
      <c r="H315" s="14"/>
      <c r="I315" s="14"/>
      <c r="J315" s="14"/>
      <c r="K315" s="14"/>
      <c r="L315" s="14"/>
      <c r="M315" s="14"/>
      <c r="N315" s="14"/>
      <c r="O315" s="14"/>
      <c r="P315" s="14"/>
      <c r="Q315" s="14"/>
      <c r="R315" s="14"/>
      <c r="S315" s="14"/>
      <c r="T315" s="14"/>
      <c r="U315" s="14"/>
      <c r="V315" s="14"/>
      <c r="W315" s="14"/>
      <c r="X315" s="14"/>
      <c r="Y315" s="14"/>
      <c r="Z315" s="14"/>
      <c r="AA315" s="14"/>
      <c r="AB315" s="14"/>
    </row>
    <row r="316" spans="1:28" x14ac:dyDescent="0.25">
      <c r="G316" s="14"/>
      <c r="H316" s="14"/>
      <c r="I316" s="14"/>
      <c r="J316" s="14"/>
      <c r="K316" s="14"/>
      <c r="L316" s="14"/>
      <c r="M316" s="14"/>
      <c r="N316" s="14"/>
      <c r="O316" s="14"/>
      <c r="P316" s="14"/>
      <c r="Q316" s="14"/>
      <c r="R316" s="14"/>
      <c r="S316" s="14"/>
      <c r="T316" s="14"/>
      <c r="U316" s="14"/>
      <c r="V316" s="14"/>
      <c r="W316" s="14"/>
      <c r="X316" s="14"/>
      <c r="Y316" s="14"/>
      <c r="Z316" s="14"/>
      <c r="AA316" s="14"/>
      <c r="AB316" s="14"/>
    </row>
    <row r="317" spans="1:28" x14ac:dyDescent="0.25">
      <c r="G317" s="14"/>
      <c r="H317" s="14"/>
      <c r="I317" s="14"/>
      <c r="J317" s="14"/>
      <c r="K317" s="14"/>
      <c r="L317" s="14"/>
      <c r="M317" s="14"/>
      <c r="N317" s="14"/>
      <c r="O317" s="14"/>
      <c r="P317" s="14"/>
      <c r="Q317" s="14"/>
      <c r="R317" s="14"/>
      <c r="S317" s="14"/>
      <c r="T317" s="14"/>
      <c r="U317" s="14"/>
      <c r="V317" s="14"/>
      <c r="W317" s="14"/>
      <c r="X317" s="14"/>
      <c r="Y317" s="14"/>
      <c r="Z317" s="14"/>
      <c r="AA317" s="14"/>
      <c r="AB317" s="14"/>
    </row>
    <row r="318" spans="1:28" x14ac:dyDescent="0.25">
      <c r="G318" s="14"/>
      <c r="H318" s="14"/>
      <c r="I318" s="14"/>
      <c r="J318" s="14"/>
      <c r="K318" s="14"/>
      <c r="L318" s="14"/>
      <c r="M318" s="14"/>
      <c r="N318" s="14"/>
      <c r="O318" s="14"/>
      <c r="P318" s="14"/>
      <c r="Q318" s="14"/>
      <c r="R318" s="14"/>
      <c r="S318" s="14"/>
      <c r="T318" s="14"/>
      <c r="U318" s="14"/>
      <c r="V318" s="14"/>
      <c r="W318" s="14"/>
      <c r="X318" s="14"/>
      <c r="Y318" s="14"/>
      <c r="Z318" s="14"/>
      <c r="AA318" s="14"/>
      <c r="AB318" s="14"/>
    </row>
    <row r="319" spans="1:28" x14ac:dyDescent="0.25">
      <c r="G319" s="14"/>
      <c r="H319" s="14"/>
      <c r="I319" s="14"/>
      <c r="J319" s="14"/>
      <c r="K319" s="14"/>
      <c r="L319" s="14"/>
      <c r="M319" s="14"/>
      <c r="N319" s="14"/>
      <c r="O319" s="14"/>
      <c r="P319" s="14"/>
      <c r="Q319" s="14"/>
      <c r="R319" s="14"/>
      <c r="S319" s="14"/>
      <c r="T319" s="14"/>
      <c r="U319" s="14"/>
      <c r="V319" s="14"/>
      <c r="W319" s="14"/>
      <c r="X319" s="14"/>
      <c r="Y319" s="14"/>
      <c r="Z319" s="14"/>
      <c r="AA319" s="14"/>
      <c r="AB319" s="14"/>
    </row>
    <row r="320" spans="1:28" x14ac:dyDescent="0.25">
      <c r="G320" s="14"/>
      <c r="H320" s="14"/>
      <c r="I320" s="14"/>
      <c r="J320" s="14"/>
      <c r="K320" s="14"/>
      <c r="L320" s="14"/>
      <c r="M320" s="14"/>
      <c r="N320" s="14"/>
      <c r="O320" s="14"/>
      <c r="P320" s="14"/>
      <c r="Q320" s="14"/>
      <c r="R320" s="14"/>
      <c r="S320" s="14"/>
      <c r="T320" s="14"/>
      <c r="U320" s="14"/>
      <c r="V320" s="14"/>
      <c r="W320" s="14"/>
      <c r="X320" s="14"/>
      <c r="Y320" s="14"/>
      <c r="Z320" s="14"/>
      <c r="AA320" s="14"/>
      <c r="AB320" s="14"/>
    </row>
    <row r="321" spans="7:28" x14ac:dyDescent="0.25">
      <c r="G321" s="14"/>
      <c r="H321" s="14"/>
      <c r="I321" s="14"/>
      <c r="J321" s="14"/>
      <c r="K321" s="14"/>
      <c r="L321" s="14"/>
      <c r="M321" s="14"/>
      <c r="N321" s="14"/>
      <c r="O321" s="14"/>
      <c r="P321" s="14"/>
      <c r="Q321" s="14"/>
      <c r="R321" s="14"/>
      <c r="S321" s="14"/>
      <c r="T321" s="14"/>
      <c r="U321" s="14"/>
      <c r="V321" s="14"/>
      <c r="W321" s="14"/>
      <c r="X321" s="14"/>
      <c r="Y321" s="14"/>
      <c r="Z321" s="14"/>
      <c r="AA321" s="14"/>
      <c r="AB321" s="14"/>
    </row>
    <row r="322" spans="7:28" x14ac:dyDescent="0.25">
      <c r="G322" s="14"/>
      <c r="H322" s="14"/>
      <c r="I322" s="14"/>
      <c r="J322" s="14"/>
      <c r="K322" s="14"/>
      <c r="L322" s="14"/>
      <c r="M322" s="14"/>
      <c r="N322" s="14"/>
      <c r="O322" s="14"/>
      <c r="P322" s="14"/>
      <c r="Q322" s="14"/>
      <c r="R322" s="14"/>
      <c r="S322" s="14"/>
      <c r="T322" s="14"/>
      <c r="U322" s="14"/>
      <c r="V322" s="14"/>
      <c r="W322" s="14"/>
      <c r="X322" s="14"/>
      <c r="Y322" s="14"/>
      <c r="Z322" s="14"/>
      <c r="AA322" s="14"/>
      <c r="AB322" s="14"/>
    </row>
    <row r="323" spans="7:28" x14ac:dyDescent="0.25">
      <c r="G323" s="14"/>
      <c r="H323" s="14"/>
      <c r="I323" s="14"/>
      <c r="J323" s="14"/>
      <c r="K323" s="14"/>
      <c r="L323" s="14"/>
      <c r="M323" s="14"/>
      <c r="N323" s="14"/>
      <c r="O323" s="14"/>
      <c r="P323" s="14"/>
      <c r="Q323" s="14"/>
      <c r="R323" s="14"/>
      <c r="S323" s="14"/>
      <c r="T323" s="14"/>
      <c r="U323" s="14"/>
      <c r="V323" s="14"/>
      <c r="W323" s="14"/>
      <c r="X323" s="14"/>
      <c r="Y323" s="14"/>
      <c r="Z323" s="14"/>
      <c r="AA323" s="14"/>
      <c r="AB323" s="14"/>
    </row>
    <row r="324" spans="7:28" x14ac:dyDescent="0.25">
      <c r="G324" s="14"/>
      <c r="H324" s="14"/>
      <c r="I324" s="14"/>
      <c r="J324" s="14"/>
      <c r="K324" s="14"/>
      <c r="L324" s="14"/>
      <c r="M324" s="14"/>
      <c r="N324" s="14"/>
      <c r="O324" s="14"/>
      <c r="P324" s="14"/>
      <c r="Q324" s="14"/>
      <c r="R324" s="14"/>
      <c r="S324" s="14"/>
      <c r="T324" s="14"/>
      <c r="U324" s="14"/>
      <c r="V324" s="14"/>
      <c r="W324" s="14"/>
      <c r="X324" s="14"/>
      <c r="Y324" s="14"/>
      <c r="Z324" s="14"/>
      <c r="AA324" s="14"/>
      <c r="AB324" s="14"/>
    </row>
    <row r="325" spans="7:28" x14ac:dyDescent="0.25">
      <c r="G325" s="14"/>
      <c r="H325" s="14"/>
      <c r="I325" s="14"/>
      <c r="J325" s="14"/>
      <c r="K325" s="14"/>
      <c r="L325" s="14"/>
      <c r="M325" s="14"/>
      <c r="N325" s="14"/>
      <c r="O325" s="14"/>
      <c r="P325" s="14"/>
      <c r="Q325" s="14"/>
      <c r="R325" s="14"/>
      <c r="S325" s="14"/>
      <c r="T325" s="14"/>
      <c r="U325" s="14"/>
      <c r="V325" s="14"/>
      <c r="W325" s="14"/>
      <c r="X325" s="14"/>
      <c r="Y325" s="14"/>
      <c r="Z325" s="14"/>
      <c r="AA325" s="14"/>
      <c r="AB325" s="14"/>
    </row>
    <row r="326" spans="7:28" x14ac:dyDescent="0.25">
      <c r="G326" s="14"/>
      <c r="H326" s="14"/>
      <c r="I326" s="14"/>
      <c r="J326" s="14"/>
      <c r="K326" s="14"/>
      <c r="L326" s="14"/>
      <c r="M326" s="14"/>
      <c r="N326" s="14"/>
      <c r="O326" s="14"/>
      <c r="P326" s="14"/>
      <c r="Q326" s="14"/>
      <c r="R326" s="14"/>
      <c r="S326" s="14"/>
      <c r="T326" s="14"/>
      <c r="U326" s="14"/>
      <c r="V326" s="14"/>
      <c r="W326" s="14"/>
      <c r="X326" s="14"/>
      <c r="Y326" s="14"/>
      <c r="Z326" s="14"/>
      <c r="AA326" s="14"/>
      <c r="AB326" s="14"/>
    </row>
    <row r="327" spans="7:28" x14ac:dyDescent="0.25">
      <c r="G327" s="14"/>
      <c r="H327" s="14"/>
      <c r="I327" s="14"/>
      <c r="J327" s="14"/>
      <c r="K327" s="14"/>
      <c r="L327" s="14"/>
      <c r="M327" s="14"/>
      <c r="N327" s="14"/>
      <c r="O327" s="14"/>
      <c r="P327" s="14"/>
      <c r="Q327" s="14"/>
      <c r="R327" s="14"/>
      <c r="S327" s="14"/>
      <c r="T327" s="14"/>
      <c r="U327" s="14"/>
      <c r="V327" s="14"/>
      <c r="W327" s="14"/>
      <c r="X327" s="14"/>
      <c r="Y327" s="14"/>
      <c r="Z327" s="14"/>
      <c r="AA327" s="14"/>
      <c r="AB327" s="14"/>
    </row>
    <row r="328" spans="7:28" x14ac:dyDescent="0.25">
      <c r="G328" s="14"/>
      <c r="H328" s="14"/>
      <c r="I328" s="14"/>
      <c r="J328" s="14"/>
      <c r="K328" s="14"/>
      <c r="L328" s="14"/>
      <c r="M328" s="14"/>
      <c r="N328" s="14"/>
      <c r="O328" s="14"/>
      <c r="P328" s="14"/>
      <c r="Q328" s="14"/>
      <c r="R328" s="14"/>
      <c r="S328" s="14"/>
      <c r="T328" s="14"/>
      <c r="U328" s="14"/>
      <c r="V328" s="14"/>
      <c r="W328" s="14"/>
      <c r="X328" s="14"/>
      <c r="Y328" s="14"/>
      <c r="Z328" s="14"/>
      <c r="AA328" s="14"/>
      <c r="AB328" s="14"/>
    </row>
    <row r="329" spans="7:28" x14ac:dyDescent="0.25">
      <c r="G329" s="14"/>
      <c r="H329" s="14"/>
      <c r="I329" s="14"/>
      <c r="J329" s="14"/>
      <c r="K329" s="14"/>
      <c r="L329" s="14"/>
      <c r="M329" s="14"/>
      <c r="N329" s="14"/>
      <c r="O329" s="14"/>
      <c r="P329" s="14"/>
      <c r="Q329" s="14"/>
      <c r="R329" s="14"/>
      <c r="S329" s="14"/>
      <c r="T329" s="14"/>
      <c r="U329" s="14"/>
      <c r="V329" s="14"/>
      <c r="W329" s="14"/>
      <c r="X329" s="14"/>
      <c r="Y329" s="14"/>
      <c r="Z329" s="14"/>
      <c r="AA329" s="14"/>
      <c r="AB329" s="14"/>
    </row>
    <row r="330" spans="7:28" x14ac:dyDescent="0.25">
      <c r="G330" s="14"/>
      <c r="H330" s="14"/>
      <c r="I330" s="14"/>
      <c r="J330" s="14"/>
      <c r="K330" s="14"/>
      <c r="L330" s="14"/>
      <c r="M330" s="14"/>
      <c r="N330" s="14"/>
      <c r="O330" s="14"/>
      <c r="P330" s="14"/>
      <c r="Q330" s="14"/>
      <c r="R330" s="14"/>
      <c r="S330" s="14"/>
      <c r="T330" s="14"/>
      <c r="U330" s="14"/>
      <c r="V330" s="14"/>
      <c r="W330" s="14"/>
      <c r="X330" s="14"/>
      <c r="Y330" s="14"/>
      <c r="Z330" s="14"/>
      <c r="AA330" s="14"/>
      <c r="AB330" s="14"/>
    </row>
    <row r="331" spans="7:28" x14ac:dyDescent="0.25">
      <c r="G331" s="14"/>
      <c r="H331" s="14"/>
      <c r="I331" s="14"/>
      <c r="J331" s="14"/>
      <c r="K331" s="14"/>
      <c r="L331" s="14"/>
      <c r="M331" s="14"/>
      <c r="N331" s="14"/>
      <c r="O331" s="14"/>
      <c r="P331" s="14"/>
      <c r="Q331" s="14"/>
      <c r="R331" s="14"/>
      <c r="S331" s="14"/>
      <c r="T331" s="14"/>
      <c r="U331" s="14"/>
      <c r="V331" s="14"/>
      <c r="W331" s="14"/>
      <c r="X331" s="14"/>
      <c r="Y331" s="14"/>
      <c r="Z331" s="14"/>
      <c r="AA331" s="14"/>
      <c r="AB331" s="14"/>
    </row>
    <row r="332" spans="7:28" x14ac:dyDescent="0.25">
      <c r="G332" s="14"/>
      <c r="H332" s="14"/>
      <c r="I332" s="14"/>
      <c r="J332" s="14"/>
      <c r="K332" s="14"/>
      <c r="L332" s="14"/>
      <c r="M332" s="14"/>
      <c r="N332" s="14"/>
      <c r="O332" s="14"/>
      <c r="P332" s="14"/>
      <c r="Q332" s="14"/>
      <c r="R332" s="14"/>
      <c r="S332" s="14"/>
      <c r="T332" s="14"/>
      <c r="U332" s="14"/>
      <c r="V332" s="14"/>
      <c r="W332" s="14"/>
      <c r="X332" s="14"/>
      <c r="Y332" s="14"/>
      <c r="Z332" s="14"/>
      <c r="AA332" s="14"/>
      <c r="AB332" s="14"/>
    </row>
    <row r="333" spans="7:28" x14ac:dyDescent="0.25">
      <c r="G333" s="14"/>
      <c r="H333" s="14"/>
      <c r="I333" s="14"/>
      <c r="J333" s="14"/>
      <c r="K333" s="14"/>
      <c r="L333" s="14"/>
      <c r="M333" s="14"/>
      <c r="N333" s="14"/>
      <c r="O333" s="14"/>
      <c r="P333" s="14"/>
      <c r="Q333" s="14"/>
      <c r="R333" s="14"/>
      <c r="S333" s="14"/>
      <c r="T333" s="14"/>
      <c r="U333" s="14"/>
      <c r="V333" s="14"/>
      <c r="W333" s="14"/>
      <c r="X333" s="14"/>
      <c r="Y333" s="14"/>
      <c r="Z333" s="14"/>
      <c r="AA333" s="14"/>
      <c r="AB333" s="14"/>
    </row>
  </sheetData>
  <sortState ref="B272:B281">
    <sortCondition ref="B272"/>
  </sortState>
  <mergeCells count="1">
    <mergeCell ref="B19:F19"/>
  </mergeCells>
  <conditionalFormatting sqref="D39">
    <cfRule type="expression" dxfId="9" priority="10">
      <formula>$D$23&gt;1</formula>
    </cfRule>
  </conditionalFormatting>
  <conditionalFormatting sqref="D40">
    <cfRule type="expression" dxfId="8" priority="9">
      <formula>$D$23&gt;2</formula>
    </cfRule>
  </conditionalFormatting>
  <conditionalFormatting sqref="D41">
    <cfRule type="expression" dxfId="7" priority="8">
      <formula>$D$23&gt;3</formula>
    </cfRule>
  </conditionalFormatting>
  <conditionalFormatting sqref="D42">
    <cfRule type="expression" dxfId="6" priority="7">
      <formula>$D$23&gt;4</formula>
    </cfRule>
  </conditionalFormatting>
  <conditionalFormatting sqref="D43">
    <cfRule type="expression" dxfId="5" priority="6">
      <formula>$D$23&gt;5</formula>
    </cfRule>
  </conditionalFormatting>
  <conditionalFormatting sqref="D44">
    <cfRule type="expression" dxfId="4" priority="5">
      <formula>$D$23&gt;6</formula>
    </cfRule>
  </conditionalFormatting>
  <conditionalFormatting sqref="D45">
    <cfRule type="expression" dxfId="3" priority="4">
      <formula>$D$23&gt;7</formula>
    </cfRule>
  </conditionalFormatting>
  <conditionalFormatting sqref="D59">
    <cfRule type="cellIs" dxfId="2" priority="3" operator="lessThan">
      <formula>0</formula>
    </cfRule>
  </conditionalFormatting>
  <conditionalFormatting sqref="D29">
    <cfRule type="expression" dxfId="1" priority="2">
      <formula>$D$28="Circular"</formula>
    </cfRule>
  </conditionalFormatting>
  <conditionalFormatting sqref="F29">
    <cfRule type="expression" dxfId="0" priority="1">
      <formula>$D$28="Circular"</formula>
    </cfRule>
  </conditionalFormatting>
  <dataValidations count="28">
    <dataValidation type="list" allowBlank="1" showInputMessage="1" showErrorMessage="1" sqref="E222" xr:uid="{00000000-0002-0000-0000-000000000000}">
      <formula1>"mm,mil"</formula1>
    </dataValidation>
    <dataValidation type="list" allowBlank="1" showInputMessage="1" showErrorMessage="1" sqref="D28" xr:uid="{00000000-0002-0000-0000-000001000000}">
      <formula1>"Circular,Racetrack"</formula1>
    </dataValidation>
    <dataValidation operator="greaterThanOrEqual" allowBlank="1" showInputMessage="1" showErrorMessage="1" errorTitle="Incorrect value" error="This value cannot be less than 1.0" sqref="D30:D31" xr:uid="{00000000-0002-0000-0000-000002000000}"/>
    <dataValidation errorStyle="warning" allowBlank="1" showInputMessage="1" showErrorMessage="1" error="This thickness may not be manufacturable. " sqref="D47" xr:uid="{00000000-0002-0000-0000-000003000000}"/>
    <dataValidation type="decimal" errorStyle="warning" allowBlank="1" showInputMessage="1" showErrorMessage="1" error="This thickness may not be manufacturable. " sqref="D46 D48" xr:uid="{00000000-0002-0000-0000-000004000000}">
      <formula1>0.001</formula1>
      <formula2>15</formula2>
    </dataValidation>
    <dataValidation errorStyle="information" allowBlank="1" showInputMessage="1" showErrorMessage="1" errorTitle="Capacitor" error="1.68e-8 is appropriate value for copper traces." sqref="D49" xr:uid="{00000000-0002-0000-0000-000005000000}"/>
    <dataValidation errorStyle="information" allowBlank="1" showInputMessage="1" showErrorMessage="1" errorTitle="Set appropriate vale" error="For Copper PCBs, 1.00 is appropriate value." sqref="D51" xr:uid="{00000000-0002-0000-0000-000006000000}"/>
    <dataValidation type="decimal" errorStyle="information" operator="greaterThan" allowBlank="1" showInputMessage="1" showErrorMessage="1" errorTitle="USe appropriate value" error="PCB traces should use 0.393 for copper." sqref="D50" xr:uid="{00000000-0002-0000-0000-000007000000}">
      <formula1>0.001</formula1>
    </dataValidation>
    <dataValidation type="list" allowBlank="1" showInputMessage="1" showErrorMessage="1" sqref="D20" xr:uid="{00000000-0002-0000-0000-000008000000}">
      <formula1>$B$281:$B$287</formula1>
    </dataValidation>
    <dataValidation type="decimal" operator="greaterThanOrEqual" allowBlank="1" showInputMessage="1" showErrorMessage="1" errorTitle="Incorrect value" error="This value cannot be less than 1.0" sqref="WUY983230 IM29:IM31 SI29:SI31 ACE29:ACE31 AMA29:AMA31 AVW29:AVW31 BFS29:BFS31 BPO29:BPO31 BZK29:BZK31 CJG29:CJG31 CTC29:CTC31 DCY29:DCY31 DMU29:DMU31 DWQ29:DWQ31 EGM29:EGM31 EQI29:EQI31 FAE29:FAE31 FKA29:FKA31 FTW29:FTW31 GDS29:GDS31 GNO29:GNO31 GXK29:GXK31 HHG29:HHG31 HRC29:HRC31 IAY29:IAY31 IKU29:IKU31 IUQ29:IUQ31 JEM29:JEM31 JOI29:JOI31 JYE29:JYE31 KIA29:KIA31 KRW29:KRW31 LBS29:LBS31 LLO29:LLO31 LVK29:LVK31 MFG29:MFG31 MPC29:MPC31 MYY29:MYY31 NIU29:NIU31 NSQ29:NSQ31 OCM29:OCM31 OMI29:OMI31 OWE29:OWE31 PGA29:PGA31 PPW29:PPW31 PZS29:PZS31 QJO29:QJO31 QTK29:QTK31 RDG29:RDG31 RNC29:RNC31 RWY29:RWY31 SGU29:SGU31 SQQ29:SQQ31 TAM29:TAM31 TKI29:TKI31 TUE29:TUE31 UEA29:UEA31 UNW29:UNW31 UXS29:UXS31 VHO29:VHO31 VRK29:VRK31 WBG29:WBG31 WLC29:WLC31 WUY29:WUY31 D65726 IM65726 SI65726 ACE65726 AMA65726 AVW65726 BFS65726 BPO65726 BZK65726 CJG65726 CTC65726 DCY65726 DMU65726 DWQ65726 EGM65726 EQI65726 FAE65726 FKA65726 FTW65726 GDS65726 GNO65726 GXK65726 HHG65726 HRC65726 IAY65726 IKU65726 IUQ65726 JEM65726 JOI65726 JYE65726 KIA65726 KRW65726 LBS65726 LLO65726 LVK65726 MFG65726 MPC65726 MYY65726 NIU65726 NSQ65726 OCM65726 OMI65726 OWE65726 PGA65726 PPW65726 PZS65726 QJO65726 QTK65726 RDG65726 RNC65726 RWY65726 SGU65726 SQQ65726 TAM65726 TKI65726 TUE65726 UEA65726 UNW65726 UXS65726 VHO65726 VRK65726 WBG65726 WLC65726 WUY65726 D131262 IM131262 SI131262 ACE131262 AMA131262 AVW131262 BFS131262 BPO131262 BZK131262 CJG131262 CTC131262 DCY131262 DMU131262 DWQ131262 EGM131262 EQI131262 FAE131262 FKA131262 FTW131262 GDS131262 GNO131262 GXK131262 HHG131262 HRC131262 IAY131262 IKU131262 IUQ131262 JEM131262 JOI131262 JYE131262 KIA131262 KRW131262 LBS131262 LLO131262 LVK131262 MFG131262 MPC131262 MYY131262 NIU131262 NSQ131262 OCM131262 OMI131262 OWE131262 PGA131262 PPW131262 PZS131262 QJO131262 QTK131262 RDG131262 RNC131262 RWY131262 SGU131262 SQQ131262 TAM131262 TKI131262 TUE131262 UEA131262 UNW131262 UXS131262 VHO131262 VRK131262 WBG131262 WLC131262 WUY131262 D196798 IM196798 SI196798 ACE196798 AMA196798 AVW196798 BFS196798 BPO196798 BZK196798 CJG196798 CTC196798 DCY196798 DMU196798 DWQ196798 EGM196798 EQI196798 FAE196798 FKA196798 FTW196798 GDS196798 GNO196798 GXK196798 HHG196798 HRC196798 IAY196798 IKU196798 IUQ196798 JEM196798 JOI196798 JYE196798 KIA196798 KRW196798 LBS196798 LLO196798 LVK196798 MFG196798 MPC196798 MYY196798 NIU196798 NSQ196798 OCM196798 OMI196798 OWE196798 PGA196798 PPW196798 PZS196798 QJO196798 QTK196798 RDG196798 RNC196798 RWY196798 SGU196798 SQQ196798 TAM196798 TKI196798 TUE196798 UEA196798 UNW196798 UXS196798 VHO196798 VRK196798 WBG196798 WLC196798 WUY196798 D262334 IM262334 SI262334 ACE262334 AMA262334 AVW262334 BFS262334 BPO262334 BZK262334 CJG262334 CTC262334 DCY262334 DMU262334 DWQ262334 EGM262334 EQI262334 FAE262334 FKA262334 FTW262334 GDS262334 GNO262334 GXK262334 HHG262334 HRC262334 IAY262334 IKU262334 IUQ262334 JEM262334 JOI262334 JYE262334 KIA262334 KRW262334 LBS262334 LLO262334 LVK262334 MFG262334 MPC262334 MYY262334 NIU262334 NSQ262334 OCM262334 OMI262334 OWE262334 PGA262334 PPW262334 PZS262334 QJO262334 QTK262334 RDG262334 RNC262334 RWY262334 SGU262334 SQQ262334 TAM262334 TKI262334 TUE262334 UEA262334 UNW262334 UXS262334 VHO262334 VRK262334 WBG262334 WLC262334 WUY262334 D327870 IM327870 SI327870 ACE327870 AMA327870 AVW327870 BFS327870 BPO327870 BZK327870 CJG327870 CTC327870 DCY327870 DMU327870 DWQ327870 EGM327870 EQI327870 FAE327870 FKA327870 FTW327870 GDS327870 GNO327870 GXK327870 HHG327870 HRC327870 IAY327870 IKU327870 IUQ327870 JEM327870 JOI327870 JYE327870 KIA327870 KRW327870 LBS327870 LLO327870 LVK327870 MFG327870 MPC327870 MYY327870 NIU327870 NSQ327870 OCM327870 OMI327870 OWE327870 PGA327870 PPW327870 PZS327870 QJO327870 QTK327870 RDG327870 RNC327870 RWY327870 SGU327870 SQQ327870 TAM327870 TKI327870 TUE327870 UEA327870 UNW327870 UXS327870 VHO327870 VRK327870 WBG327870 WLC327870 WUY327870 D393406 IM393406 SI393406 ACE393406 AMA393406 AVW393406 BFS393406 BPO393406 BZK393406 CJG393406 CTC393406 DCY393406 DMU393406 DWQ393406 EGM393406 EQI393406 FAE393406 FKA393406 FTW393406 GDS393406 GNO393406 GXK393406 HHG393406 HRC393406 IAY393406 IKU393406 IUQ393406 JEM393406 JOI393406 JYE393406 KIA393406 KRW393406 LBS393406 LLO393406 LVK393406 MFG393406 MPC393406 MYY393406 NIU393406 NSQ393406 OCM393406 OMI393406 OWE393406 PGA393406 PPW393406 PZS393406 QJO393406 QTK393406 RDG393406 RNC393406 RWY393406 SGU393406 SQQ393406 TAM393406 TKI393406 TUE393406 UEA393406 UNW393406 UXS393406 VHO393406 VRK393406 WBG393406 WLC393406 WUY393406 D458942 IM458942 SI458942 ACE458942 AMA458942 AVW458942 BFS458942 BPO458942 BZK458942 CJG458942 CTC458942 DCY458942 DMU458942 DWQ458942 EGM458942 EQI458942 FAE458942 FKA458942 FTW458942 GDS458942 GNO458942 GXK458942 HHG458942 HRC458942 IAY458942 IKU458942 IUQ458942 JEM458942 JOI458942 JYE458942 KIA458942 KRW458942 LBS458942 LLO458942 LVK458942 MFG458942 MPC458942 MYY458942 NIU458942 NSQ458942 OCM458942 OMI458942 OWE458942 PGA458942 PPW458942 PZS458942 QJO458942 QTK458942 RDG458942 RNC458942 RWY458942 SGU458942 SQQ458942 TAM458942 TKI458942 TUE458942 UEA458942 UNW458942 UXS458942 VHO458942 VRK458942 WBG458942 WLC458942 WUY458942 D524478 IM524478 SI524478 ACE524478 AMA524478 AVW524478 BFS524478 BPO524478 BZK524478 CJG524478 CTC524478 DCY524478 DMU524478 DWQ524478 EGM524478 EQI524478 FAE524478 FKA524478 FTW524478 GDS524478 GNO524478 GXK524478 HHG524478 HRC524478 IAY524478 IKU524478 IUQ524478 JEM524478 JOI524478 JYE524478 KIA524478 KRW524478 LBS524478 LLO524478 LVK524478 MFG524478 MPC524478 MYY524478 NIU524478 NSQ524478 OCM524478 OMI524478 OWE524478 PGA524478 PPW524478 PZS524478 QJO524478 QTK524478 RDG524478 RNC524478 RWY524478 SGU524478 SQQ524478 TAM524478 TKI524478 TUE524478 UEA524478 UNW524478 UXS524478 VHO524478 VRK524478 WBG524478 WLC524478 WUY524478 D590014 IM590014 SI590014 ACE590014 AMA590014 AVW590014 BFS590014 BPO590014 BZK590014 CJG590014 CTC590014 DCY590014 DMU590014 DWQ590014 EGM590014 EQI590014 FAE590014 FKA590014 FTW590014 GDS590014 GNO590014 GXK590014 HHG590014 HRC590014 IAY590014 IKU590014 IUQ590014 JEM590014 JOI590014 JYE590014 KIA590014 KRW590014 LBS590014 LLO590014 LVK590014 MFG590014 MPC590014 MYY590014 NIU590014 NSQ590014 OCM590014 OMI590014 OWE590014 PGA590014 PPW590014 PZS590014 QJO590014 QTK590014 RDG590014 RNC590014 RWY590014 SGU590014 SQQ590014 TAM590014 TKI590014 TUE590014 UEA590014 UNW590014 UXS590014 VHO590014 VRK590014 WBG590014 WLC590014 WUY590014 D655550 IM655550 SI655550 ACE655550 AMA655550 AVW655550 BFS655550 BPO655550 BZK655550 CJG655550 CTC655550 DCY655550 DMU655550 DWQ655550 EGM655550 EQI655550 FAE655550 FKA655550 FTW655550 GDS655550 GNO655550 GXK655550 HHG655550 HRC655550 IAY655550 IKU655550 IUQ655550 JEM655550 JOI655550 JYE655550 KIA655550 KRW655550 LBS655550 LLO655550 LVK655550 MFG655550 MPC655550 MYY655550 NIU655550 NSQ655550 OCM655550 OMI655550 OWE655550 PGA655550 PPW655550 PZS655550 QJO655550 QTK655550 RDG655550 RNC655550 RWY655550 SGU655550 SQQ655550 TAM655550 TKI655550 TUE655550 UEA655550 UNW655550 UXS655550 VHO655550 VRK655550 WBG655550 WLC655550 WUY655550 D721086 IM721086 SI721086 ACE721086 AMA721086 AVW721086 BFS721086 BPO721086 BZK721086 CJG721086 CTC721086 DCY721086 DMU721086 DWQ721086 EGM721086 EQI721086 FAE721086 FKA721086 FTW721086 GDS721086 GNO721086 GXK721086 HHG721086 HRC721086 IAY721086 IKU721086 IUQ721086 JEM721086 JOI721086 JYE721086 KIA721086 KRW721086 LBS721086 LLO721086 LVK721086 MFG721086 MPC721086 MYY721086 NIU721086 NSQ721086 OCM721086 OMI721086 OWE721086 PGA721086 PPW721086 PZS721086 QJO721086 QTK721086 RDG721086 RNC721086 RWY721086 SGU721086 SQQ721086 TAM721086 TKI721086 TUE721086 UEA721086 UNW721086 UXS721086 VHO721086 VRK721086 WBG721086 WLC721086 WUY721086 D786622 IM786622 SI786622 ACE786622 AMA786622 AVW786622 BFS786622 BPO786622 BZK786622 CJG786622 CTC786622 DCY786622 DMU786622 DWQ786622 EGM786622 EQI786622 FAE786622 FKA786622 FTW786622 GDS786622 GNO786622 GXK786622 HHG786622 HRC786622 IAY786622 IKU786622 IUQ786622 JEM786622 JOI786622 JYE786622 KIA786622 KRW786622 LBS786622 LLO786622 LVK786622 MFG786622 MPC786622 MYY786622 NIU786622 NSQ786622 OCM786622 OMI786622 OWE786622 PGA786622 PPW786622 PZS786622 QJO786622 QTK786622 RDG786622 RNC786622 RWY786622 SGU786622 SQQ786622 TAM786622 TKI786622 TUE786622 UEA786622 UNW786622 UXS786622 VHO786622 VRK786622 WBG786622 WLC786622 WUY786622 D852158 IM852158 SI852158 ACE852158 AMA852158 AVW852158 BFS852158 BPO852158 BZK852158 CJG852158 CTC852158 DCY852158 DMU852158 DWQ852158 EGM852158 EQI852158 FAE852158 FKA852158 FTW852158 GDS852158 GNO852158 GXK852158 HHG852158 HRC852158 IAY852158 IKU852158 IUQ852158 JEM852158 JOI852158 JYE852158 KIA852158 KRW852158 LBS852158 LLO852158 LVK852158 MFG852158 MPC852158 MYY852158 NIU852158 NSQ852158 OCM852158 OMI852158 OWE852158 PGA852158 PPW852158 PZS852158 QJO852158 QTK852158 RDG852158 RNC852158 RWY852158 SGU852158 SQQ852158 TAM852158 TKI852158 TUE852158 UEA852158 UNW852158 UXS852158 VHO852158 VRK852158 WBG852158 WLC852158 WUY852158 D917694 IM917694 SI917694 ACE917694 AMA917694 AVW917694 BFS917694 BPO917694 BZK917694 CJG917694 CTC917694 DCY917694 DMU917694 DWQ917694 EGM917694 EQI917694 FAE917694 FKA917694 FTW917694 GDS917694 GNO917694 GXK917694 HHG917694 HRC917694 IAY917694 IKU917694 IUQ917694 JEM917694 JOI917694 JYE917694 KIA917694 KRW917694 LBS917694 LLO917694 LVK917694 MFG917694 MPC917694 MYY917694 NIU917694 NSQ917694 OCM917694 OMI917694 OWE917694 PGA917694 PPW917694 PZS917694 QJO917694 QTK917694 RDG917694 RNC917694 RWY917694 SGU917694 SQQ917694 TAM917694 TKI917694 TUE917694 UEA917694 UNW917694 UXS917694 VHO917694 VRK917694 WBG917694 WLC917694 WUY917694 D983230 IM983230 SI983230 ACE983230 AMA983230 AVW983230 BFS983230 BPO983230 BZK983230 CJG983230 CTC983230 DCY983230 DMU983230 DWQ983230 EGM983230 EQI983230 FAE983230 FKA983230 FTW983230 GDS983230 GNO983230 GXK983230 HHG983230 HRC983230 IAY983230 IKU983230 IUQ983230 JEM983230 JOI983230 JYE983230 KIA983230 KRW983230 LBS983230 LLO983230 LVK983230 MFG983230 MPC983230 MYY983230 NIU983230 NSQ983230 OCM983230 OMI983230 OWE983230 PGA983230 PPW983230 PZS983230 QJO983230 QTK983230 RDG983230 RNC983230 RWY983230 SGU983230 SQQ983230 TAM983230 TKI983230 TUE983230 UEA983230 UNW983230 UXS983230 VHO983230 VRK983230 WBG983230 WLC983230 D29" xr:uid="{00000000-0002-0000-0000-000009000000}">
      <formula1>1</formula1>
    </dataValidation>
    <dataValidation type="list" showInputMessage="1" showErrorMessage="1" sqref="WUZ983229:WUZ983232 E65725:E65728 IN65725:IN65728 SJ65725:SJ65728 ACF65725:ACF65728 AMB65725:AMB65728 AVX65725:AVX65728 BFT65725:BFT65728 BPP65725:BPP65728 BZL65725:BZL65728 CJH65725:CJH65728 CTD65725:CTD65728 DCZ65725:DCZ65728 DMV65725:DMV65728 DWR65725:DWR65728 EGN65725:EGN65728 EQJ65725:EQJ65728 FAF65725:FAF65728 FKB65725:FKB65728 FTX65725:FTX65728 GDT65725:GDT65728 GNP65725:GNP65728 GXL65725:GXL65728 HHH65725:HHH65728 HRD65725:HRD65728 IAZ65725:IAZ65728 IKV65725:IKV65728 IUR65725:IUR65728 JEN65725:JEN65728 JOJ65725:JOJ65728 JYF65725:JYF65728 KIB65725:KIB65728 KRX65725:KRX65728 LBT65725:LBT65728 LLP65725:LLP65728 LVL65725:LVL65728 MFH65725:MFH65728 MPD65725:MPD65728 MYZ65725:MYZ65728 NIV65725:NIV65728 NSR65725:NSR65728 OCN65725:OCN65728 OMJ65725:OMJ65728 OWF65725:OWF65728 PGB65725:PGB65728 PPX65725:PPX65728 PZT65725:PZT65728 QJP65725:QJP65728 QTL65725:QTL65728 RDH65725:RDH65728 RND65725:RND65728 RWZ65725:RWZ65728 SGV65725:SGV65728 SQR65725:SQR65728 TAN65725:TAN65728 TKJ65725:TKJ65728 TUF65725:TUF65728 UEB65725:UEB65728 UNX65725:UNX65728 UXT65725:UXT65728 VHP65725:VHP65728 VRL65725:VRL65728 WBH65725:WBH65728 WLD65725:WLD65728 WUZ65725:WUZ65728 E131261:E131264 IN131261:IN131264 SJ131261:SJ131264 ACF131261:ACF131264 AMB131261:AMB131264 AVX131261:AVX131264 BFT131261:BFT131264 BPP131261:BPP131264 BZL131261:BZL131264 CJH131261:CJH131264 CTD131261:CTD131264 DCZ131261:DCZ131264 DMV131261:DMV131264 DWR131261:DWR131264 EGN131261:EGN131264 EQJ131261:EQJ131264 FAF131261:FAF131264 FKB131261:FKB131264 FTX131261:FTX131264 GDT131261:GDT131264 GNP131261:GNP131264 GXL131261:GXL131264 HHH131261:HHH131264 HRD131261:HRD131264 IAZ131261:IAZ131264 IKV131261:IKV131264 IUR131261:IUR131264 JEN131261:JEN131264 JOJ131261:JOJ131264 JYF131261:JYF131264 KIB131261:KIB131264 KRX131261:KRX131264 LBT131261:LBT131264 LLP131261:LLP131264 LVL131261:LVL131264 MFH131261:MFH131264 MPD131261:MPD131264 MYZ131261:MYZ131264 NIV131261:NIV131264 NSR131261:NSR131264 OCN131261:OCN131264 OMJ131261:OMJ131264 OWF131261:OWF131264 PGB131261:PGB131264 PPX131261:PPX131264 PZT131261:PZT131264 QJP131261:QJP131264 QTL131261:QTL131264 RDH131261:RDH131264 RND131261:RND131264 RWZ131261:RWZ131264 SGV131261:SGV131264 SQR131261:SQR131264 TAN131261:TAN131264 TKJ131261:TKJ131264 TUF131261:TUF131264 UEB131261:UEB131264 UNX131261:UNX131264 UXT131261:UXT131264 VHP131261:VHP131264 VRL131261:VRL131264 WBH131261:WBH131264 WLD131261:WLD131264 WUZ131261:WUZ131264 E196797:E196800 IN196797:IN196800 SJ196797:SJ196800 ACF196797:ACF196800 AMB196797:AMB196800 AVX196797:AVX196800 BFT196797:BFT196800 BPP196797:BPP196800 BZL196797:BZL196800 CJH196797:CJH196800 CTD196797:CTD196800 DCZ196797:DCZ196800 DMV196797:DMV196800 DWR196797:DWR196800 EGN196797:EGN196800 EQJ196797:EQJ196800 FAF196797:FAF196800 FKB196797:FKB196800 FTX196797:FTX196800 GDT196797:GDT196800 GNP196797:GNP196800 GXL196797:GXL196800 HHH196797:HHH196800 HRD196797:HRD196800 IAZ196797:IAZ196800 IKV196797:IKV196800 IUR196797:IUR196800 JEN196797:JEN196800 JOJ196797:JOJ196800 JYF196797:JYF196800 KIB196797:KIB196800 KRX196797:KRX196800 LBT196797:LBT196800 LLP196797:LLP196800 LVL196797:LVL196800 MFH196797:MFH196800 MPD196797:MPD196800 MYZ196797:MYZ196800 NIV196797:NIV196800 NSR196797:NSR196800 OCN196797:OCN196800 OMJ196797:OMJ196800 OWF196797:OWF196800 PGB196797:PGB196800 PPX196797:PPX196800 PZT196797:PZT196800 QJP196797:QJP196800 QTL196797:QTL196800 RDH196797:RDH196800 RND196797:RND196800 RWZ196797:RWZ196800 SGV196797:SGV196800 SQR196797:SQR196800 TAN196797:TAN196800 TKJ196797:TKJ196800 TUF196797:TUF196800 UEB196797:UEB196800 UNX196797:UNX196800 UXT196797:UXT196800 VHP196797:VHP196800 VRL196797:VRL196800 WBH196797:WBH196800 WLD196797:WLD196800 WUZ196797:WUZ196800 E262333:E262336 IN262333:IN262336 SJ262333:SJ262336 ACF262333:ACF262336 AMB262333:AMB262336 AVX262333:AVX262336 BFT262333:BFT262336 BPP262333:BPP262336 BZL262333:BZL262336 CJH262333:CJH262336 CTD262333:CTD262336 DCZ262333:DCZ262336 DMV262333:DMV262336 DWR262333:DWR262336 EGN262333:EGN262336 EQJ262333:EQJ262336 FAF262333:FAF262336 FKB262333:FKB262336 FTX262333:FTX262336 GDT262333:GDT262336 GNP262333:GNP262336 GXL262333:GXL262336 HHH262333:HHH262336 HRD262333:HRD262336 IAZ262333:IAZ262336 IKV262333:IKV262336 IUR262333:IUR262336 JEN262333:JEN262336 JOJ262333:JOJ262336 JYF262333:JYF262336 KIB262333:KIB262336 KRX262333:KRX262336 LBT262333:LBT262336 LLP262333:LLP262336 LVL262333:LVL262336 MFH262333:MFH262336 MPD262333:MPD262336 MYZ262333:MYZ262336 NIV262333:NIV262336 NSR262333:NSR262336 OCN262333:OCN262336 OMJ262333:OMJ262336 OWF262333:OWF262336 PGB262333:PGB262336 PPX262333:PPX262336 PZT262333:PZT262336 QJP262333:QJP262336 QTL262333:QTL262336 RDH262333:RDH262336 RND262333:RND262336 RWZ262333:RWZ262336 SGV262333:SGV262336 SQR262333:SQR262336 TAN262333:TAN262336 TKJ262333:TKJ262336 TUF262333:TUF262336 UEB262333:UEB262336 UNX262333:UNX262336 UXT262333:UXT262336 VHP262333:VHP262336 VRL262333:VRL262336 WBH262333:WBH262336 WLD262333:WLD262336 WUZ262333:WUZ262336 E327869:E327872 IN327869:IN327872 SJ327869:SJ327872 ACF327869:ACF327872 AMB327869:AMB327872 AVX327869:AVX327872 BFT327869:BFT327872 BPP327869:BPP327872 BZL327869:BZL327872 CJH327869:CJH327872 CTD327869:CTD327872 DCZ327869:DCZ327872 DMV327869:DMV327872 DWR327869:DWR327872 EGN327869:EGN327872 EQJ327869:EQJ327872 FAF327869:FAF327872 FKB327869:FKB327872 FTX327869:FTX327872 GDT327869:GDT327872 GNP327869:GNP327872 GXL327869:GXL327872 HHH327869:HHH327872 HRD327869:HRD327872 IAZ327869:IAZ327872 IKV327869:IKV327872 IUR327869:IUR327872 JEN327869:JEN327872 JOJ327869:JOJ327872 JYF327869:JYF327872 KIB327869:KIB327872 KRX327869:KRX327872 LBT327869:LBT327872 LLP327869:LLP327872 LVL327869:LVL327872 MFH327869:MFH327872 MPD327869:MPD327872 MYZ327869:MYZ327872 NIV327869:NIV327872 NSR327869:NSR327872 OCN327869:OCN327872 OMJ327869:OMJ327872 OWF327869:OWF327872 PGB327869:PGB327872 PPX327869:PPX327872 PZT327869:PZT327872 QJP327869:QJP327872 QTL327869:QTL327872 RDH327869:RDH327872 RND327869:RND327872 RWZ327869:RWZ327872 SGV327869:SGV327872 SQR327869:SQR327872 TAN327869:TAN327872 TKJ327869:TKJ327872 TUF327869:TUF327872 UEB327869:UEB327872 UNX327869:UNX327872 UXT327869:UXT327872 VHP327869:VHP327872 VRL327869:VRL327872 WBH327869:WBH327872 WLD327869:WLD327872 WUZ327869:WUZ327872 E393405:E393408 IN393405:IN393408 SJ393405:SJ393408 ACF393405:ACF393408 AMB393405:AMB393408 AVX393405:AVX393408 BFT393405:BFT393408 BPP393405:BPP393408 BZL393405:BZL393408 CJH393405:CJH393408 CTD393405:CTD393408 DCZ393405:DCZ393408 DMV393405:DMV393408 DWR393405:DWR393408 EGN393405:EGN393408 EQJ393405:EQJ393408 FAF393405:FAF393408 FKB393405:FKB393408 FTX393405:FTX393408 GDT393405:GDT393408 GNP393405:GNP393408 GXL393405:GXL393408 HHH393405:HHH393408 HRD393405:HRD393408 IAZ393405:IAZ393408 IKV393405:IKV393408 IUR393405:IUR393408 JEN393405:JEN393408 JOJ393405:JOJ393408 JYF393405:JYF393408 KIB393405:KIB393408 KRX393405:KRX393408 LBT393405:LBT393408 LLP393405:LLP393408 LVL393405:LVL393408 MFH393405:MFH393408 MPD393405:MPD393408 MYZ393405:MYZ393408 NIV393405:NIV393408 NSR393405:NSR393408 OCN393405:OCN393408 OMJ393405:OMJ393408 OWF393405:OWF393408 PGB393405:PGB393408 PPX393405:PPX393408 PZT393405:PZT393408 QJP393405:QJP393408 QTL393405:QTL393408 RDH393405:RDH393408 RND393405:RND393408 RWZ393405:RWZ393408 SGV393405:SGV393408 SQR393405:SQR393408 TAN393405:TAN393408 TKJ393405:TKJ393408 TUF393405:TUF393408 UEB393405:UEB393408 UNX393405:UNX393408 UXT393405:UXT393408 VHP393405:VHP393408 VRL393405:VRL393408 WBH393405:WBH393408 WLD393405:WLD393408 WUZ393405:WUZ393408 E458941:E458944 IN458941:IN458944 SJ458941:SJ458944 ACF458941:ACF458944 AMB458941:AMB458944 AVX458941:AVX458944 BFT458941:BFT458944 BPP458941:BPP458944 BZL458941:BZL458944 CJH458941:CJH458944 CTD458941:CTD458944 DCZ458941:DCZ458944 DMV458941:DMV458944 DWR458941:DWR458944 EGN458941:EGN458944 EQJ458941:EQJ458944 FAF458941:FAF458944 FKB458941:FKB458944 FTX458941:FTX458944 GDT458941:GDT458944 GNP458941:GNP458944 GXL458941:GXL458944 HHH458941:HHH458944 HRD458941:HRD458944 IAZ458941:IAZ458944 IKV458941:IKV458944 IUR458941:IUR458944 JEN458941:JEN458944 JOJ458941:JOJ458944 JYF458941:JYF458944 KIB458941:KIB458944 KRX458941:KRX458944 LBT458941:LBT458944 LLP458941:LLP458944 LVL458941:LVL458944 MFH458941:MFH458944 MPD458941:MPD458944 MYZ458941:MYZ458944 NIV458941:NIV458944 NSR458941:NSR458944 OCN458941:OCN458944 OMJ458941:OMJ458944 OWF458941:OWF458944 PGB458941:PGB458944 PPX458941:PPX458944 PZT458941:PZT458944 QJP458941:QJP458944 QTL458941:QTL458944 RDH458941:RDH458944 RND458941:RND458944 RWZ458941:RWZ458944 SGV458941:SGV458944 SQR458941:SQR458944 TAN458941:TAN458944 TKJ458941:TKJ458944 TUF458941:TUF458944 UEB458941:UEB458944 UNX458941:UNX458944 UXT458941:UXT458944 VHP458941:VHP458944 VRL458941:VRL458944 WBH458941:WBH458944 WLD458941:WLD458944 WUZ458941:WUZ458944 E524477:E524480 IN524477:IN524480 SJ524477:SJ524480 ACF524477:ACF524480 AMB524477:AMB524480 AVX524477:AVX524480 BFT524477:BFT524480 BPP524477:BPP524480 BZL524477:BZL524480 CJH524477:CJH524480 CTD524477:CTD524480 DCZ524477:DCZ524480 DMV524477:DMV524480 DWR524477:DWR524480 EGN524477:EGN524480 EQJ524477:EQJ524480 FAF524477:FAF524480 FKB524477:FKB524480 FTX524477:FTX524480 GDT524477:GDT524480 GNP524477:GNP524480 GXL524477:GXL524480 HHH524477:HHH524480 HRD524477:HRD524480 IAZ524477:IAZ524480 IKV524477:IKV524480 IUR524477:IUR524480 JEN524477:JEN524480 JOJ524477:JOJ524480 JYF524477:JYF524480 KIB524477:KIB524480 KRX524477:KRX524480 LBT524477:LBT524480 LLP524477:LLP524480 LVL524477:LVL524480 MFH524477:MFH524480 MPD524477:MPD524480 MYZ524477:MYZ524480 NIV524477:NIV524480 NSR524477:NSR524480 OCN524477:OCN524480 OMJ524477:OMJ524480 OWF524477:OWF524480 PGB524477:PGB524480 PPX524477:PPX524480 PZT524477:PZT524480 QJP524477:QJP524480 QTL524477:QTL524480 RDH524477:RDH524480 RND524477:RND524480 RWZ524477:RWZ524480 SGV524477:SGV524480 SQR524477:SQR524480 TAN524477:TAN524480 TKJ524477:TKJ524480 TUF524477:TUF524480 UEB524477:UEB524480 UNX524477:UNX524480 UXT524477:UXT524480 VHP524477:VHP524480 VRL524477:VRL524480 WBH524477:WBH524480 WLD524477:WLD524480 WUZ524477:WUZ524480 E590013:E590016 IN590013:IN590016 SJ590013:SJ590016 ACF590013:ACF590016 AMB590013:AMB590016 AVX590013:AVX590016 BFT590013:BFT590016 BPP590013:BPP590016 BZL590013:BZL590016 CJH590013:CJH590016 CTD590013:CTD590016 DCZ590013:DCZ590016 DMV590013:DMV590016 DWR590013:DWR590016 EGN590013:EGN590016 EQJ590013:EQJ590016 FAF590013:FAF590016 FKB590013:FKB590016 FTX590013:FTX590016 GDT590013:GDT590016 GNP590013:GNP590016 GXL590013:GXL590016 HHH590013:HHH590016 HRD590013:HRD590016 IAZ590013:IAZ590016 IKV590013:IKV590016 IUR590013:IUR590016 JEN590013:JEN590016 JOJ590013:JOJ590016 JYF590013:JYF590016 KIB590013:KIB590016 KRX590013:KRX590016 LBT590013:LBT590016 LLP590013:LLP590016 LVL590013:LVL590016 MFH590013:MFH590016 MPD590013:MPD590016 MYZ590013:MYZ590016 NIV590013:NIV590016 NSR590013:NSR590016 OCN590013:OCN590016 OMJ590013:OMJ590016 OWF590013:OWF590016 PGB590013:PGB590016 PPX590013:PPX590016 PZT590013:PZT590016 QJP590013:QJP590016 QTL590013:QTL590016 RDH590013:RDH590016 RND590013:RND590016 RWZ590013:RWZ590016 SGV590013:SGV590016 SQR590013:SQR590016 TAN590013:TAN590016 TKJ590013:TKJ590016 TUF590013:TUF590016 UEB590013:UEB590016 UNX590013:UNX590016 UXT590013:UXT590016 VHP590013:VHP590016 VRL590013:VRL590016 WBH590013:WBH590016 WLD590013:WLD590016 WUZ590013:WUZ590016 E655549:E655552 IN655549:IN655552 SJ655549:SJ655552 ACF655549:ACF655552 AMB655549:AMB655552 AVX655549:AVX655552 BFT655549:BFT655552 BPP655549:BPP655552 BZL655549:BZL655552 CJH655549:CJH655552 CTD655549:CTD655552 DCZ655549:DCZ655552 DMV655549:DMV655552 DWR655549:DWR655552 EGN655549:EGN655552 EQJ655549:EQJ655552 FAF655549:FAF655552 FKB655549:FKB655552 FTX655549:FTX655552 GDT655549:GDT655552 GNP655549:GNP655552 GXL655549:GXL655552 HHH655549:HHH655552 HRD655549:HRD655552 IAZ655549:IAZ655552 IKV655549:IKV655552 IUR655549:IUR655552 JEN655549:JEN655552 JOJ655549:JOJ655552 JYF655549:JYF655552 KIB655549:KIB655552 KRX655549:KRX655552 LBT655549:LBT655552 LLP655549:LLP655552 LVL655549:LVL655552 MFH655549:MFH655552 MPD655549:MPD655552 MYZ655549:MYZ655552 NIV655549:NIV655552 NSR655549:NSR655552 OCN655549:OCN655552 OMJ655549:OMJ655552 OWF655549:OWF655552 PGB655549:PGB655552 PPX655549:PPX655552 PZT655549:PZT655552 QJP655549:QJP655552 QTL655549:QTL655552 RDH655549:RDH655552 RND655549:RND655552 RWZ655549:RWZ655552 SGV655549:SGV655552 SQR655549:SQR655552 TAN655549:TAN655552 TKJ655549:TKJ655552 TUF655549:TUF655552 UEB655549:UEB655552 UNX655549:UNX655552 UXT655549:UXT655552 VHP655549:VHP655552 VRL655549:VRL655552 WBH655549:WBH655552 WLD655549:WLD655552 WUZ655549:WUZ655552 E721085:E721088 IN721085:IN721088 SJ721085:SJ721088 ACF721085:ACF721088 AMB721085:AMB721088 AVX721085:AVX721088 BFT721085:BFT721088 BPP721085:BPP721088 BZL721085:BZL721088 CJH721085:CJH721088 CTD721085:CTD721088 DCZ721085:DCZ721088 DMV721085:DMV721088 DWR721085:DWR721088 EGN721085:EGN721088 EQJ721085:EQJ721088 FAF721085:FAF721088 FKB721085:FKB721088 FTX721085:FTX721088 GDT721085:GDT721088 GNP721085:GNP721088 GXL721085:GXL721088 HHH721085:HHH721088 HRD721085:HRD721088 IAZ721085:IAZ721088 IKV721085:IKV721088 IUR721085:IUR721088 JEN721085:JEN721088 JOJ721085:JOJ721088 JYF721085:JYF721088 KIB721085:KIB721088 KRX721085:KRX721088 LBT721085:LBT721088 LLP721085:LLP721088 LVL721085:LVL721088 MFH721085:MFH721088 MPD721085:MPD721088 MYZ721085:MYZ721088 NIV721085:NIV721088 NSR721085:NSR721088 OCN721085:OCN721088 OMJ721085:OMJ721088 OWF721085:OWF721088 PGB721085:PGB721088 PPX721085:PPX721088 PZT721085:PZT721088 QJP721085:QJP721088 QTL721085:QTL721088 RDH721085:RDH721088 RND721085:RND721088 RWZ721085:RWZ721088 SGV721085:SGV721088 SQR721085:SQR721088 TAN721085:TAN721088 TKJ721085:TKJ721088 TUF721085:TUF721088 UEB721085:UEB721088 UNX721085:UNX721088 UXT721085:UXT721088 VHP721085:VHP721088 VRL721085:VRL721088 WBH721085:WBH721088 WLD721085:WLD721088 WUZ721085:WUZ721088 E786621:E786624 IN786621:IN786624 SJ786621:SJ786624 ACF786621:ACF786624 AMB786621:AMB786624 AVX786621:AVX786624 BFT786621:BFT786624 BPP786621:BPP786624 BZL786621:BZL786624 CJH786621:CJH786624 CTD786621:CTD786624 DCZ786621:DCZ786624 DMV786621:DMV786624 DWR786621:DWR786624 EGN786621:EGN786624 EQJ786621:EQJ786624 FAF786621:FAF786624 FKB786621:FKB786624 FTX786621:FTX786624 GDT786621:GDT786624 GNP786621:GNP786624 GXL786621:GXL786624 HHH786621:HHH786624 HRD786621:HRD786624 IAZ786621:IAZ786624 IKV786621:IKV786624 IUR786621:IUR786624 JEN786621:JEN786624 JOJ786621:JOJ786624 JYF786621:JYF786624 KIB786621:KIB786624 KRX786621:KRX786624 LBT786621:LBT786624 LLP786621:LLP786624 LVL786621:LVL786624 MFH786621:MFH786624 MPD786621:MPD786624 MYZ786621:MYZ786624 NIV786621:NIV786624 NSR786621:NSR786624 OCN786621:OCN786624 OMJ786621:OMJ786624 OWF786621:OWF786624 PGB786621:PGB786624 PPX786621:PPX786624 PZT786621:PZT786624 QJP786621:QJP786624 QTL786621:QTL786624 RDH786621:RDH786624 RND786621:RND786624 RWZ786621:RWZ786624 SGV786621:SGV786624 SQR786621:SQR786624 TAN786621:TAN786624 TKJ786621:TKJ786624 TUF786621:TUF786624 UEB786621:UEB786624 UNX786621:UNX786624 UXT786621:UXT786624 VHP786621:VHP786624 VRL786621:VRL786624 WBH786621:WBH786624 WLD786621:WLD786624 WUZ786621:WUZ786624 E852157:E852160 IN852157:IN852160 SJ852157:SJ852160 ACF852157:ACF852160 AMB852157:AMB852160 AVX852157:AVX852160 BFT852157:BFT852160 BPP852157:BPP852160 BZL852157:BZL852160 CJH852157:CJH852160 CTD852157:CTD852160 DCZ852157:DCZ852160 DMV852157:DMV852160 DWR852157:DWR852160 EGN852157:EGN852160 EQJ852157:EQJ852160 FAF852157:FAF852160 FKB852157:FKB852160 FTX852157:FTX852160 GDT852157:GDT852160 GNP852157:GNP852160 GXL852157:GXL852160 HHH852157:HHH852160 HRD852157:HRD852160 IAZ852157:IAZ852160 IKV852157:IKV852160 IUR852157:IUR852160 JEN852157:JEN852160 JOJ852157:JOJ852160 JYF852157:JYF852160 KIB852157:KIB852160 KRX852157:KRX852160 LBT852157:LBT852160 LLP852157:LLP852160 LVL852157:LVL852160 MFH852157:MFH852160 MPD852157:MPD852160 MYZ852157:MYZ852160 NIV852157:NIV852160 NSR852157:NSR852160 OCN852157:OCN852160 OMJ852157:OMJ852160 OWF852157:OWF852160 PGB852157:PGB852160 PPX852157:PPX852160 PZT852157:PZT852160 QJP852157:QJP852160 QTL852157:QTL852160 RDH852157:RDH852160 RND852157:RND852160 RWZ852157:RWZ852160 SGV852157:SGV852160 SQR852157:SQR852160 TAN852157:TAN852160 TKJ852157:TKJ852160 TUF852157:TUF852160 UEB852157:UEB852160 UNX852157:UNX852160 UXT852157:UXT852160 VHP852157:VHP852160 VRL852157:VRL852160 WBH852157:WBH852160 WLD852157:WLD852160 WUZ852157:WUZ852160 E917693:E917696 IN917693:IN917696 SJ917693:SJ917696 ACF917693:ACF917696 AMB917693:AMB917696 AVX917693:AVX917696 BFT917693:BFT917696 BPP917693:BPP917696 BZL917693:BZL917696 CJH917693:CJH917696 CTD917693:CTD917696 DCZ917693:DCZ917696 DMV917693:DMV917696 DWR917693:DWR917696 EGN917693:EGN917696 EQJ917693:EQJ917696 FAF917693:FAF917696 FKB917693:FKB917696 FTX917693:FTX917696 GDT917693:GDT917696 GNP917693:GNP917696 GXL917693:GXL917696 HHH917693:HHH917696 HRD917693:HRD917696 IAZ917693:IAZ917696 IKV917693:IKV917696 IUR917693:IUR917696 JEN917693:JEN917696 JOJ917693:JOJ917696 JYF917693:JYF917696 KIB917693:KIB917696 KRX917693:KRX917696 LBT917693:LBT917696 LLP917693:LLP917696 LVL917693:LVL917696 MFH917693:MFH917696 MPD917693:MPD917696 MYZ917693:MYZ917696 NIV917693:NIV917696 NSR917693:NSR917696 OCN917693:OCN917696 OMJ917693:OMJ917696 OWF917693:OWF917696 PGB917693:PGB917696 PPX917693:PPX917696 PZT917693:PZT917696 QJP917693:QJP917696 QTL917693:QTL917696 RDH917693:RDH917696 RND917693:RND917696 RWZ917693:RWZ917696 SGV917693:SGV917696 SQR917693:SQR917696 TAN917693:TAN917696 TKJ917693:TKJ917696 TUF917693:TUF917696 UEB917693:UEB917696 UNX917693:UNX917696 UXT917693:UXT917696 VHP917693:VHP917696 VRL917693:VRL917696 WBH917693:WBH917696 WLD917693:WLD917696 WUZ917693:WUZ917696 E983229:E983232 IN983229:IN983232 SJ983229:SJ983232 ACF983229:ACF983232 AMB983229:AMB983232 AVX983229:AVX983232 BFT983229:BFT983232 BPP983229:BPP983232 BZL983229:BZL983232 CJH983229:CJH983232 CTD983229:CTD983232 DCZ983229:DCZ983232 DMV983229:DMV983232 DWR983229:DWR983232 EGN983229:EGN983232 EQJ983229:EQJ983232 FAF983229:FAF983232 FKB983229:FKB983232 FTX983229:FTX983232 GDT983229:GDT983232 GNP983229:GNP983232 GXL983229:GXL983232 HHH983229:HHH983232 HRD983229:HRD983232 IAZ983229:IAZ983232 IKV983229:IKV983232 IUR983229:IUR983232 JEN983229:JEN983232 JOJ983229:JOJ983232 JYF983229:JYF983232 KIB983229:KIB983232 KRX983229:KRX983232 LBT983229:LBT983232 LLP983229:LLP983232 LVL983229:LVL983232 MFH983229:MFH983232 MPD983229:MPD983232 MYZ983229:MYZ983232 NIV983229:NIV983232 NSR983229:NSR983232 OCN983229:OCN983232 OMJ983229:OMJ983232 OWF983229:OWF983232 PGB983229:PGB983232 PPX983229:PPX983232 PZT983229:PZT983232 QJP983229:QJP983232 QTL983229:QTL983232 RDH983229:RDH983232 RND983229:RND983232 RWZ983229:RWZ983232 SGV983229:SGV983232 SQR983229:SQR983232 TAN983229:TAN983232 TKJ983229:TKJ983232 TUF983229:TUF983232 UEB983229:UEB983232 UNX983229:UNX983232 UXT983229:UXT983232 VHP983229:VHP983232 VRL983229:VRL983232 WBH983229:WBH983232 WLD983229:WLD983232 IN27:IN32 WUZ27:WUZ32 WLD27:WLD32 WBH27:WBH32 VRL27:VRL32 VHP27:VHP32 UXT27:UXT32 UNX27:UNX32 UEB27:UEB32 TUF27:TUF32 TKJ27:TKJ32 TAN27:TAN32 SQR27:SQR32 SGV27:SGV32 RWZ27:RWZ32 RND27:RND32 RDH27:RDH32 QTL27:QTL32 QJP27:QJP32 PZT27:PZT32 PPX27:PPX32 PGB27:PGB32 OWF27:OWF32 OMJ27:OMJ32 OCN27:OCN32 NSR27:NSR32 NIV27:NIV32 MYZ27:MYZ32 MPD27:MPD32 MFH27:MFH32 LVL27:LVL32 LLP27:LLP32 LBT27:LBT32 KRX27:KRX32 KIB27:KIB32 JYF27:JYF32 JOJ27:JOJ32 JEN27:JEN32 IUR27:IUR32 IKV27:IKV32 IAZ27:IAZ32 HRD27:HRD32 HHH27:HHH32 GXL27:GXL32 GNP27:GNP32 GDT27:GDT32 FTX27:FTX32 FKB27:FKB32 FAF27:FAF32 EQJ27:EQJ32 EGN27:EGN32 DWR27:DWR32 DMV27:DMV32 DCZ27:DCZ32 CTD27:CTD32 CJH27:CJH32 BZL27:BZL32 BPP27:BPP32 BFT27:BFT32 AVX27:AVX32 AMB27:AMB32 ACF27:ACF32 SJ27:SJ32" xr:uid="{00000000-0002-0000-0000-00000A000000}">
      <formula1>"mm"</formula1>
    </dataValidation>
    <dataValidation type="list" errorStyle="information" allowBlank="1" showInputMessage="1" showErrorMessage="1" errorTitle="Set appropriate vale" error="For Copper PCBs, 1.00 is appropriate value." sqref="WUY983245 IM51 SI51 ACE51 AMA51 AVW51 BFS51 BPO51 BZK51 CJG51 CTC51 DCY51 DMU51 DWQ51 EGM51 EQI51 FAE51 FKA51 FTW51 GDS51 GNO51 GXK51 HHG51 HRC51 IAY51 IKU51 IUQ51 JEM51 JOI51 JYE51 KIA51 KRW51 LBS51 LLO51 LVK51 MFG51 MPC51 MYY51 NIU51 NSQ51 OCM51 OMI51 OWE51 PGA51 PPW51 PZS51 QJO51 QTK51 RDG51 RNC51 RWY51 SGU51 SQQ51 TAM51 TKI51 TUE51 UEA51 UNW51 UXS51 VHO51 VRK51 WBG51 WLC51 WUY51 D65741 IM65741 SI65741 ACE65741 AMA65741 AVW65741 BFS65741 BPO65741 BZK65741 CJG65741 CTC65741 DCY65741 DMU65741 DWQ65741 EGM65741 EQI65741 FAE65741 FKA65741 FTW65741 GDS65741 GNO65741 GXK65741 HHG65741 HRC65741 IAY65741 IKU65741 IUQ65741 JEM65741 JOI65741 JYE65741 KIA65741 KRW65741 LBS65741 LLO65741 LVK65741 MFG65741 MPC65741 MYY65741 NIU65741 NSQ65741 OCM65741 OMI65741 OWE65741 PGA65741 PPW65741 PZS65741 QJO65741 QTK65741 RDG65741 RNC65741 RWY65741 SGU65741 SQQ65741 TAM65741 TKI65741 TUE65741 UEA65741 UNW65741 UXS65741 VHO65741 VRK65741 WBG65741 WLC65741 WUY65741 D131277 IM131277 SI131277 ACE131277 AMA131277 AVW131277 BFS131277 BPO131277 BZK131277 CJG131277 CTC131277 DCY131277 DMU131277 DWQ131277 EGM131277 EQI131277 FAE131277 FKA131277 FTW131277 GDS131277 GNO131277 GXK131277 HHG131277 HRC131277 IAY131277 IKU131277 IUQ131277 JEM131277 JOI131277 JYE131277 KIA131277 KRW131277 LBS131277 LLO131277 LVK131277 MFG131277 MPC131277 MYY131277 NIU131277 NSQ131277 OCM131277 OMI131277 OWE131277 PGA131277 PPW131277 PZS131277 QJO131277 QTK131277 RDG131277 RNC131277 RWY131277 SGU131277 SQQ131277 TAM131277 TKI131277 TUE131277 UEA131277 UNW131277 UXS131277 VHO131277 VRK131277 WBG131277 WLC131277 WUY131277 D196813 IM196813 SI196813 ACE196813 AMA196813 AVW196813 BFS196813 BPO196813 BZK196813 CJG196813 CTC196813 DCY196813 DMU196813 DWQ196813 EGM196813 EQI196813 FAE196813 FKA196813 FTW196813 GDS196813 GNO196813 GXK196813 HHG196813 HRC196813 IAY196813 IKU196813 IUQ196813 JEM196813 JOI196813 JYE196813 KIA196813 KRW196813 LBS196813 LLO196813 LVK196813 MFG196813 MPC196813 MYY196813 NIU196813 NSQ196813 OCM196813 OMI196813 OWE196813 PGA196813 PPW196813 PZS196813 QJO196813 QTK196813 RDG196813 RNC196813 RWY196813 SGU196813 SQQ196813 TAM196813 TKI196813 TUE196813 UEA196813 UNW196813 UXS196813 VHO196813 VRK196813 WBG196813 WLC196813 WUY196813 D262349 IM262349 SI262349 ACE262349 AMA262349 AVW262349 BFS262349 BPO262349 BZK262349 CJG262349 CTC262349 DCY262349 DMU262349 DWQ262349 EGM262349 EQI262349 FAE262349 FKA262349 FTW262349 GDS262349 GNO262349 GXK262349 HHG262349 HRC262349 IAY262349 IKU262349 IUQ262349 JEM262349 JOI262349 JYE262349 KIA262349 KRW262349 LBS262349 LLO262349 LVK262349 MFG262349 MPC262349 MYY262349 NIU262349 NSQ262349 OCM262349 OMI262349 OWE262349 PGA262349 PPW262349 PZS262349 QJO262349 QTK262349 RDG262349 RNC262349 RWY262349 SGU262349 SQQ262349 TAM262349 TKI262349 TUE262349 UEA262349 UNW262349 UXS262349 VHO262349 VRK262349 WBG262349 WLC262349 WUY262349 D327885 IM327885 SI327885 ACE327885 AMA327885 AVW327885 BFS327885 BPO327885 BZK327885 CJG327885 CTC327885 DCY327885 DMU327885 DWQ327885 EGM327885 EQI327885 FAE327885 FKA327885 FTW327885 GDS327885 GNO327885 GXK327885 HHG327885 HRC327885 IAY327885 IKU327885 IUQ327885 JEM327885 JOI327885 JYE327885 KIA327885 KRW327885 LBS327885 LLO327885 LVK327885 MFG327885 MPC327885 MYY327885 NIU327885 NSQ327885 OCM327885 OMI327885 OWE327885 PGA327885 PPW327885 PZS327885 QJO327885 QTK327885 RDG327885 RNC327885 RWY327885 SGU327885 SQQ327885 TAM327885 TKI327885 TUE327885 UEA327885 UNW327885 UXS327885 VHO327885 VRK327885 WBG327885 WLC327885 WUY327885 D393421 IM393421 SI393421 ACE393421 AMA393421 AVW393421 BFS393421 BPO393421 BZK393421 CJG393421 CTC393421 DCY393421 DMU393421 DWQ393421 EGM393421 EQI393421 FAE393421 FKA393421 FTW393421 GDS393421 GNO393421 GXK393421 HHG393421 HRC393421 IAY393421 IKU393421 IUQ393421 JEM393421 JOI393421 JYE393421 KIA393421 KRW393421 LBS393421 LLO393421 LVK393421 MFG393421 MPC393421 MYY393421 NIU393421 NSQ393421 OCM393421 OMI393421 OWE393421 PGA393421 PPW393421 PZS393421 QJO393421 QTK393421 RDG393421 RNC393421 RWY393421 SGU393421 SQQ393421 TAM393421 TKI393421 TUE393421 UEA393421 UNW393421 UXS393421 VHO393421 VRK393421 WBG393421 WLC393421 WUY393421 D458957 IM458957 SI458957 ACE458957 AMA458957 AVW458957 BFS458957 BPO458957 BZK458957 CJG458957 CTC458957 DCY458957 DMU458957 DWQ458957 EGM458957 EQI458957 FAE458957 FKA458957 FTW458957 GDS458957 GNO458957 GXK458957 HHG458957 HRC458957 IAY458957 IKU458957 IUQ458957 JEM458957 JOI458957 JYE458957 KIA458957 KRW458957 LBS458957 LLO458957 LVK458957 MFG458957 MPC458957 MYY458957 NIU458957 NSQ458957 OCM458957 OMI458957 OWE458957 PGA458957 PPW458957 PZS458957 QJO458957 QTK458957 RDG458957 RNC458957 RWY458957 SGU458957 SQQ458957 TAM458957 TKI458957 TUE458957 UEA458957 UNW458957 UXS458957 VHO458957 VRK458957 WBG458957 WLC458957 WUY458957 D524493 IM524493 SI524493 ACE524493 AMA524493 AVW524493 BFS524493 BPO524493 BZK524493 CJG524493 CTC524493 DCY524493 DMU524493 DWQ524493 EGM524493 EQI524493 FAE524493 FKA524493 FTW524493 GDS524493 GNO524493 GXK524493 HHG524493 HRC524493 IAY524493 IKU524493 IUQ524493 JEM524493 JOI524493 JYE524493 KIA524493 KRW524493 LBS524493 LLO524493 LVK524493 MFG524493 MPC524493 MYY524493 NIU524493 NSQ524493 OCM524493 OMI524493 OWE524493 PGA524493 PPW524493 PZS524493 QJO524493 QTK524493 RDG524493 RNC524493 RWY524493 SGU524493 SQQ524493 TAM524493 TKI524493 TUE524493 UEA524493 UNW524493 UXS524493 VHO524493 VRK524493 WBG524493 WLC524493 WUY524493 D590029 IM590029 SI590029 ACE590029 AMA590029 AVW590029 BFS590029 BPO590029 BZK590029 CJG590029 CTC590029 DCY590029 DMU590029 DWQ590029 EGM590029 EQI590029 FAE590029 FKA590029 FTW590029 GDS590029 GNO590029 GXK590029 HHG590029 HRC590029 IAY590029 IKU590029 IUQ590029 JEM590029 JOI590029 JYE590029 KIA590029 KRW590029 LBS590029 LLO590029 LVK590029 MFG590029 MPC590029 MYY590029 NIU590029 NSQ590029 OCM590029 OMI590029 OWE590029 PGA590029 PPW590029 PZS590029 QJO590029 QTK590029 RDG590029 RNC590029 RWY590029 SGU590029 SQQ590029 TAM590029 TKI590029 TUE590029 UEA590029 UNW590029 UXS590029 VHO590029 VRK590029 WBG590029 WLC590029 WUY590029 D655565 IM655565 SI655565 ACE655565 AMA655565 AVW655565 BFS655565 BPO655565 BZK655565 CJG655565 CTC655565 DCY655565 DMU655565 DWQ655565 EGM655565 EQI655565 FAE655565 FKA655565 FTW655565 GDS655565 GNO655565 GXK655565 HHG655565 HRC655565 IAY655565 IKU655565 IUQ655565 JEM655565 JOI655565 JYE655565 KIA655565 KRW655565 LBS655565 LLO655565 LVK655565 MFG655565 MPC655565 MYY655565 NIU655565 NSQ655565 OCM655565 OMI655565 OWE655565 PGA655565 PPW655565 PZS655565 QJO655565 QTK655565 RDG655565 RNC655565 RWY655565 SGU655565 SQQ655565 TAM655565 TKI655565 TUE655565 UEA655565 UNW655565 UXS655565 VHO655565 VRK655565 WBG655565 WLC655565 WUY655565 D721101 IM721101 SI721101 ACE721101 AMA721101 AVW721101 BFS721101 BPO721101 BZK721101 CJG721101 CTC721101 DCY721101 DMU721101 DWQ721101 EGM721101 EQI721101 FAE721101 FKA721101 FTW721101 GDS721101 GNO721101 GXK721101 HHG721101 HRC721101 IAY721101 IKU721101 IUQ721101 JEM721101 JOI721101 JYE721101 KIA721101 KRW721101 LBS721101 LLO721101 LVK721101 MFG721101 MPC721101 MYY721101 NIU721101 NSQ721101 OCM721101 OMI721101 OWE721101 PGA721101 PPW721101 PZS721101 QJO721101 QTK721101 RDG721101 RNC721101 RWY721101 SGU721101 SQQ721101 TAM721101 TKI721101 TUE721101 UEA721101 UNW721101 UXS721101 VHO721101 VRK721101 WBG721101 WLC721101 WUY721101 D786637 IM786637 SI786637 ACE786637 AMA786637 AVW786637 BFS786637 BPO786637 BZK786637 CJG786637 CTC786637 DCY786637 DMU786637 DWQ786637 EGM786637 EQI786637 FAE786637 FKA786637 FTW786637 GDS786637 GNO786637 GXK786637 HHG786637 HRC786637 IAY786637 IKU786637 IUQ786637 JEM786637 JOI786637 JYE786637 KIA786637 KRW786637 LBS786637 LLO786637 LVK786637 MFG786637 MPC786637 MYY786637 NIU786637 NSQ786637 OCM786637 OMI786637 OWE786637 PGA786637 PPW786637 PZS786637 QJO786637 QTK786637 RDG786637 RNC786637 RWY786637 SGU786637 SQQ786637 TAM786637 TKI786637 TUE786637 UEA786637 UNW786637 UXS786637 VHO786637 VRK786637 WBG786637 WLC786637 WUY786637 D852173 IM852173 SI852173 ACE852173 AMA852173 AVW852173 BFS852173 BPO852173 BZK852173 CJG852173 CTC852173 DCY852173 DMU852173 DWQ852173 EGM852173 EQI852173 FAE852173 FKA852173 FTW852173 GDS852173 GNO852173 GXK852173 HHG852173 HRC852173 IAY852173 IKU852173 IUQ852173 JEM852173 JOI852173 JYE852173 KIA852173 KRW852173 LBS852173 LLO852173 LVK852173 MFG852173 MPC852173 MYY852173 NIU852173 NSQ852173 OCM852173 OMI852173 OWE852173 PGA852173 PPW852173 PZS852173 QJO852173 QTK852173 RDG852173 RNC852173 RWY852173 SGU852173 SQQ852173 TAM852173 TKI852173 TUE852173 UEA852173 UNW852173 UXS852173 VHO852173 VRK852173 WBG852173 WLC852173 WUY852173 D917709 IM917709 SI917709 ACE917709 AMA917709 AVW917709 BFS917709 BPO917709 BZK917709 CJG917709 CTC917709 DCY917709 DMU917709 DWQ917709 EGM917709 EQI917709 FAE917709 FKA917709 FTW917709 GDS917709 GNO917709 GXK917709 HHG917709 HRC917709 IAY917709 IKU917709 IUQ917709 JEM917709 JOI917709 JYE917709 KIA917709 KRW917709 LBS917709 LLO917709 LVK917709 MFG917709 MPC917709 MYY917709 NIU917709 NSQ917709 OCM917709 OMI917709 OWE917709 PGA917709 PPW917709 PZS917709 QJO917709 QTK917709 RDG917709 RNC917709 RWY917709 SGU917709 SQQ917709 TAM917709 TKI917709 TUE917709 UEA917709 UNW917709 UXS917709 VHO917709 VRK917709 WBG917709 WLC917709 WUY917709 D983245 IM983245 SI983245 ACE983245 AMA983245 AVW983245 BFS983245 BPO983245 BZK983245 CJG983245 CTC983245 DCY983245 DMU983245 DWQ983245 EGM983245 EQI983245 FAE983245 FKA983245 FTW983245 GDS983245 GNO983245 GXK983245 HHG983245 HRC983245 IAY983245 IKU983245 IUQ983245 JEM983245 JOI983245 JYE983245 KIA983245 KRW983245 LBS983245 LLO983245 LVK983245 MFG983245 MPC983245 MYY983245 NIU983245 NSQ983245 OCM983245 OMI983245 OWE983245 PGA983245 PPW983245 PZS983245 QJO983245 QTK983245 RDG983245 RNC983245 RWY983245 SGU983245 SQQ983245 TAM983245 TKI983245 TUE983245 UEA983245 UNW983245 UXS983245 VHO983245 VRK983245 WBG983245 WLC983245" xr:uid="{00000000-0002-0000-0000-00000B000000}">
      <formula1>"1.0"</formula1>
    </dataValidation>
    <dataValidation type="decimal" operator="greaterThanOrEqual" allowBlank="1" showInputMessage="1" showErrorMessage="1" sqref="D52 IM52 SI52 ACE52 AMA52 AVW52 BFS52 BPO52 BZK52 CJG52 CTC52 DCY52 DMU52 DWQ52 EGM52 EQI52 FAE52 FKA52 FTW52 GDS52 GNO52 GXK52 HHG52 HRC52 IAY52 IKU52 IUQ52 JEM52 JOI52 JYE52 KIA52 KRW52 LBS52 LLO52 LVK52 MFG52 MPC52 MYY52 NIU52 NSQ52 OCM52 OMI52 OWE52 PGA52 PPW52 PZS52 QJO52 QTK52 RDG52 RNC52 RWY52 SGU52 SQQ52 TAM52 TKI52 TUE52 UEA52 UNW52 UXS52 VHO52 VRK52 WBG52 WLC52 WUY52 D65742 IM65742 SI65742 ACE65742 AMA65742 AVW65742 BFS65742 BPO65742 BZK65742 CJG65742 CTC65742 DCY65742 DMU65742 DWQ65742 EGM65742 EQI65742 FAE65742 FKA65742 FTW65742 GDS65742 GNO65742 GXK65742 HHG65742 HRC65742 IAY65742 IKU65742 IUQ65742 JEM65742 JOI65742 JYE65742 KIA65742 KRW65742 LBS65742 LLO65742 LVK65742 MFG65742 MPC65742 MYY65742 NIU65742 NSQ65742 OCM65742 OMI65742 OWE65742 PGA65742 PPW65742 PZS65742 QJO65742 QTK65742 RDG65742 RNC65742 RWY65742 SGU65742 SQQ65742 TAM65742 TKI65742 TUE65742 UEA65742 UNW65742 UXS65742 VHO65742 VRK65742 WBG65742 WLC65742 WUY65742 D131278 IM131278 SI131278 ACE131278 AMA131278 AVW131278 BFS131278 BPO131278 BZK131278 CJG131278 CTC131278 DCY131278 DMU131278 DWQ131278 EGM131278 EQI131278 FAE131278 FKA131278 FTW131278 GDS131278 GNO131278 GXK131278 HHG131278 HRC131278 IAY131278 IKU131278 IUQ131278 JEM131278 JOI131278 JYE131278 KIA131278 KRW131278 LBS131278 LLO131278 LVK131278 MFG131278 MPC131278 MYY131278 NIU131278 NSQ131278 OCM131278 OMI131278 OWE131278 PGA131278 PPW131278 PZS131278 QJO131278 QTK131278 RDG131278 RNC131278 RWY131278 SGU131278 SQQ131278 TAM131278 TKI131278 TUE131278 UEA131278 UNW131278 UXS131278 VHO131278 VRK131278 WBG131278 WLC131278 WUY131278 D196814 IM196814 SI196814 ACE196814 AMA196814 AVW196814 BFS196814 BPO196814 BZK196814 CJG196814 CTC196814 DCY196814 DMU196814 DWQ196814 EGM196814 EQI196814 FAE196814 FKA196814 FTW196814 GDS196814 GNO196814 GXK196814 HHG196814 HRC196814 IAY196814 IKU196814 IUQ196814 JEM196814 JOI196814 JYE196814 KIA196814 KRW196814 LBS196814 LLO196814 LVK196814 MFG196814 MPC196814 MYY196814 NIU196814 NSQ196814 OCM196814 OMI196814 OWE196814 PGA196814 PPW196814 PZS196814 QJO196814 QTK196814 RDG196814 RNC196814 RWY196814 SGU196814 SQQ196814 TAM196814 TKI196814 TUE196814 UEA196814 UNW196814 UXS196814 VHO196814 VRK196814 WBG196814 WLC196814 WUY196814 D262350 IM262350 SI262350 ACE262350 AMA262350 AVW262350 BFS262350 BPO262350 BZK262350 CJG262350 CTC262350 DCY262350 DMU262350 DWQ262350 EGM262350 EQI262350 FAE262350 FKA262350 FTW262350 GDS262350 GNO262350 GXK262350 HHG262350 HRC262350 IAY262350 IKU262350 IUQ262350 JEM262350 JOI262350 JYE262350 KIA262350 KRW262350 LBS262350 LLO262350 LVK262350 MFG262350 MPC262350 MYY262350 NIU262350 NSQ262350 OCM262350 OMI262350 OWE262350 PGA262350 PPW262350 PZS262350 QJO262350 QTK262350 RDG262350 RNC262350 RWY262350 SGU262350 SQQ262350 TAM262350 TKI262350 TUE262350 UEA262350 UNW262350 UXS262350 VHO262350 VRK262350 WBG262350 WLC262350 WUY262350 D327886 IM327886 SI327886 ACE327886 AMA327886 AVW327886 BFS327886 BPO327886 BZK327886 CJG327886 CTC327886 DCY327886 DMU327886 DWQ327886 EGM327886 EQI327886 FAE327886 FKA327886 FTW327886 GDS327886 GNO327886 GXK327886 HHG327886 HRC327886 IAY327886 IKU327886 IUQ327886 JEM327886 JOI327886 JYE327886 KIA327886 KRW327886 LBS327886 LLO327886 LVK327886 MFG327886 MPC327886 MYY327886 NIU327886 NSQ327886 OCM327886 OMI327886 OWE327886 PGA327886 PPW327886 PZS327886 QJO327886 QTK327886 RDG327886 RNC327886 RWY327886 SGU327886 SQQ327886 TAM327886 TKI327886 TUE327886 UEA327886 UNW327886 UXS327886 VHO327886 VRK327886 WBG327886 WLC327886 WUY327886 D393422 IM393422 SI393422 ACE393422 AMA393422 AVW393422 BFS393422 BPO393422 BZK393422 CJG393422 CTC393422 DCY393422 DMU393422 DWQ393422 EGM393422 EQI393422 FAE393422 FKA393422 FTW393422 GDS393422 GNO393422 GXK393422 HHG393422 HRC393422 IAY393422 IKU393422 IUQ393422 JEM393422 JOI393422 JYE393422 KIA393422 KRW393422 LBS393422 LLO393422 LVK393422 MFG393422 MPC393422 MYY393422 NIU393422 NSQ393422 OCM393422 OMI393422 OWE393422 PGA393422 PPW393422 PZS393422 QJO393422 QTK393422 RDG393422 RNC393422 RWY393422 SGU393422 SQQ393422 TAM393422 TKI393422 TUE393422 UEA393422 UNW393422 UXS393422 VHO393422 VRK393422 WBG393422 WLC393422 WUY393422 D458958 IM458958 SI458958 ACE458958 AMA458958 AVW458958 BFS458958 BPO458958 BZK458958 CJG458958 CTC458958 DCY458958 DMU458958 DWQ458958 EGM458958 EQI458958 FAE458958 FKA458958 FTW458958 GDS458958 GNO458958 GXK458958 HHG458958 HRC458958 IAY458958 IKU458958 IUQ458958 JEM458958 JOI458958 JYE458958 KIA458958 KRW458958 LBS458958 LLO458958 LVK458958 MFG458958 MPC458958 MYY458958 NIU458958 NSQ458958 OCM458958 OMI458958 OWE458958 PGA458958 PPW458958 PZS458958 QJO458958 QTK458958 RDG458958 RNC458958 RWY458958 SGU458958 SQQ458958 TAM458958 TKI458958 TUE458958 UEA458958 UNW458958 UXS458958 VHO458958 VRK458958 WBG458958 WLC458958 WUY458958 D524494 IM524494 SI524494 ACE524494 AMA524494 AVW524494 BFS524494 BPO524494 BZK524494 CJG524494 CTC524494 DCY524494 DMU524494 DWQ524494 EGM524494 EQI524494 FAE524494 FKA524494 FTW524494 GDS524494 GNO524494 GXK524494 HHG524494 HRC524494 IAY524494 IKU524494 IUQ524494 JEM524494 JOI524494 JYE524494 KIA524494 KRW524494 LBS524494 LLO524494 LVK524494 MFG524494 MPC524494 MYY524494 NIU524494 NSQ524494 OCM524494 OMI524494 OWE524494 PGA524494 PPW524494 PZS524494 QJO524494 QTK524494 RDG524494 RNC524494 RWY524494 SGU524494 SQQ524494 TAM524494 TKI524494 TUE524494 UEA524494 UNW524494 UXS524494 VHO524494 VRK524494 WBG524494 WLC524494 WUY524494 D590030 IM590030 SI590030 ACE590030 AMA590030 AVW590030 BFS590030 BPO590030 BZK590030 CJG590030 CTC590030 DCY590030 DMU590030 DWQ590030 EGM590030 EQI590030 FAE590030 FKA590030 FTW590030 GDS590030 GNO590030 GXK590030 HHG590030 HRC590030 IAY590030 IKU590030 IUQ590030 JEM590030 JOI590030 JYE590030 KIA590030 KRW590030 LBS590030 LLO590030 LVK590030 MFG590030 MPC590030 MYY590030 NIU590030 NSQ590030 OCM590030 OMI590030 OWE590030 PGA590030 PPW590030 PZS590030 QJO590030 QTK590030 RDG590030 RNC590030 RWY590030 SGU590030 SQQ590030 TAM590030 TKI590030 TUE590030 UEA590030 UNW590030 UXS590030 VHO590030 VRK590030 WBG590030 WLC590030 WUY590030 D655566 IM655566 SI655566 ACE655566 AMA655566 AVW655566 BFS655566 BPO655566 BZK655566 CJG655566 CTC655566 DCY655566 DMU655566 DWQ655566 EGM655566 EQI655566 FAE655566 FKA655566 FTW655566 GDS655566 GNO655566 GXK655566 HHG655566 HRC655566 IAY655566 IKU655566 IUQ655566 JEM655566 JOI655566 JYE655566 KIA655566 KRW655566 LBS655566 LLO655566 LVK655566 MFG655566 MPC655566 MYY655566 NIU655566 NSQ655566 OCM655566 OMI655566 OWE655566 PGA655566 PPW655566 PZS655566 QJO655566 QTK655566 RDG655566 RNC655566 RWY655566 SGU655566 SQQ655566 TAM655566 TKI655566 TUE655566 UEA655566 UNW655566 UXS655566 VHO655566 VRK655566 WBG655566 WLC655566 WUY655566 D721102 IM721102 SI721102 ACE721102 AMA721102 AVW721102 BFS721102 BPO721102 BZK721102 CJG721102 CTC721102 DCY721102 DMU721102 DWQ721102 EGM721102 EQI721102 FAE721102 FKA721102 FTW721102 GDS721102 GNO721102 GXK721102 HHG721102 HRC721102 IAY721102 IKU721102 IUQ721102 JEM721102 JOI721102 JYE721102 KIA721102 KRW721102 LBS721102 LLO721102 LVK721102 MFG721102 MPC721102 MYY721102 NIU721102 NSQ721102 OCM721102 OMI721102 OWE721102 PGA721102 PPW721102 PZS721102 QJO721102 QTK721102 RDG721102 RNC721102 RWY721102 SGU721102 SQQ721102 TAM721102 TKI721102 TUE721102 UEA721102 UNW721102 UXS721102 VHO721102 VRK721102 WBG721102 WLC721102 WUY721102 D786638 IM786638 SI786638 ACE786638 AMA786638 AVW786638 BFS786638 BPO786638 BZK786638 CJG786638 CTC786638 DCY786638 DMU786638 DWQ786638 EGM786638 EQI786638 FAE786638 FKA786638 FTW786638 GDS786638 GNO786638 GXK786638 HHG786638 HRC786638 IAY786638 IKU786638 IUQ786638 JEM786638 JOI786638 JYE786638 KIA786638 KRW786638 LBS786638 LLO786638 LVK786638 MFG786638 MPC786638 MYY786638 NIU786638 NSQ786638 OCM786638 OMI786638 OWE786638 PGA786638 PPW786638 PZS786638 QJO786638 QTK786638 RDG786638 RNC786638 RWY786638 SGU786638 SQQ786638 TAM786638 TKI786638 TUE786638 UEA786638 UNW786638 UXS786638 VHO786638 VRK786638 WBG786638 WLC786638 WUY786638 D852174 IM852174 SI852174 ACE852174 AMA852174 AVW852174 BFS852174 BPO852174 BZK852174 CJG852174 CTC852174 DCY852174 DMU852174 DWQ852174 EGM852174 EQI852174 FAE852174 FKA852174 FTW852174 GDS852174 GNO852174 GXK852174 HHG852174 HRC852174 IAY852174 IKU852174 IUQ852174 JEM852174 JOI852174 JYE852174 KIA852174 KRW852174 LBS852174 LLO852174 LVK852174 MFG852174 MPC852174 MYY852174 NIU852174 NSQ852174 OCM852174 OMI852174 OWE852174 PGA852174 PPW852174 PZS852174 QJO852174 QTK852174 RDG852174 RNC852174 RWY852174 SGU852174 SQQ852174 TAM852174 TKI852174 TUE852174 UEA852174 UNW852174 UXS852174 VHO852174 VRK852174 WBG852174 WLC852174 WUY852174 D917710 IM917710 SI917710 ACE917710 AMA917710 AVW917710 BFS917710 BPO917710 BZK917710 CJG917710 CTC917710 DCY917710 DMU917710 DWQ917710 EGM917710 EQI917710 FAE917710 FKA917710 FTW917710 GDS917710 GNO917710 GXK917710 HHG917710 HRC917710 IAY917710 IKU917710 IUQ917710 JEM917710 JOI917710 JYE917710 KIA917710 KRW917710 LBS917710 LLO917710 LVK917710 MFG917710 MPC917710 MYY917710 NIU917710 NSQ917710 OCM917710 OMI917710 OWE917710 PGA917710 PPW917710 PZS917710 QJO917710 QTK917710 RDG917710 RNC917710 RWY917710 SGU917710 SQQ917710 TAM917710 TKI917710 TUE917710 UEA917710 UNW917710 UXS917710 VHO917710 VRK917710 WBG917710 WLC917710 WUY917710 D983246 IM983246 SI983246 ACE983246 AMA983246 AVW983246 BFS983246 BPO983246 BZK983246 CJG983246 CTC983246 DCY983246 DMU983246 DWQ983246 EGM983246 EQI983246 FAE983246 FKA983246 FTW983246 GDS983246 GNO983246 GXK983246 HHG983246 HRC983246 IAY983246 IKU983246 IUQ983246 JEM983246 JOI983246 JYE983246 KIA983246 KRW983246 LBS983246 LLO983246 LVK983246 MFG983246 MPC983246 MYY983246 NIU983246 NSQ983246 OCM983246 OMI983246 OWE983246 PGA983246 PPW983246 PZS983246 QJO983246 QTK983246 RDG983246 RNC983246 RWY983246 SGU983246 SQQ983246 TAM983246 TKI983246 TUE983246 UEA983246 UNW983246 UXS983246 VHO983246 VRK983246 WBG983246 WLC983246 WUY983246" xr:uid="{00000000-0002-0000-0000-00000C000000}">
      <formula1>0</formula1>
    </dataValidation>
    <dataValidation type="list" errorStyle="information" allowBlank="1" showInputMessage="1" showErrorMessage="1" errorTitle="USe appropriate value" error="PCB traces should use 0.393 for copper." sqref="WUY983244 IM50 SI50 ACE50 AMA50 AVW50 BFS50 BPO50 BZK50 CJG50 CTC50 DCY50 DMU50 DWQ50 EGM50 EQI50 FAE50 FKA50 FTW50 GDS50 GNO50 GXK50 HHG50 HRC50 IAY50 IKU50 IUQ50 JEM50 JOI50 JYE50 KIA50 KRW50 LBS50 LLO50 LVK50 MFG50 MPC50 MYY50 NIU50 NSQ50 OCM50 OMI50 OWE50 PGA50 PPW50 PZS50 QJO50 QTK50 RDG50 RNC50 RWY50 SGU50 SQQ50 TAM50 TKI50 TUE50 UEA50 UNW50 UXS50 VHO50 VRK50 WBG50 WLC50 WUY50 D65740 IM65740 SI65740 ACE65740 AMA65740 AVW65740 BFS65740 BPO65740 BZK65740 CJG65740 CTC65740 DCY65740 DMU65740 DWQ65740 EGM65740 EQI65740 FAE65740 FKA65740 FTW65740 GDS65740 GNO65740 GXK65740 HHG65740 HRC65740 IAY65740 IKU65740 IUQ65740 JEM65740 JOI65740 JYE65740 KIA65740 KRW65740 LBS65740 LLO65740 LVK65740 MFG65740 MPC65740 MYY65740 NIU65740 NSQ65740 OCM65740 OMI65740 OWE65740 PGA65740 PPW65740 PZS65740 QJO65740 QTK65740 RDG65740 RNC65740 RWY65740 SGU65740 SQQ65740 TAM65740 TKI65740 TUE65740 UEA65740 UNW65740 UXS65740 VHO65740 VRK65740 WBG65740 WLC65740 WUY65740 D131276 IM131276 SI131276 ACE131276 AMA131276 AVW131276 BFS131276 BPO131276 BZK131276 CJG131276 CTC131276 DCY131276 DMU131276 DWQ131276 EGM131276 EQI131276 FAE131276 FKA131276 FTW131276 GDS131276 GNO131276 GXK131276 HHG131276 HRC131276 IAY131276 IKU131276 IUQ131276 JEM131276 JOI131276 JYE131276 KIA131276 KRW131276 LBS131276 LLO131276 LVK131276 MFG131276 MPC131276 MYY131276 NIU131276 NSQ131276 OCM131276 OMI131276 OWE131276 PGA131276 PPW131276 PZS131276 QJO131276 QTK131276 RDG131276 RNC131276 RWY131276 SGU131276 SQQ131276 TAM131276 TKI131276 TUE131276 UEA131276 UNW131276 UXS131276 VHO131276 VRK131276 WBG131276 WLC131276 WUY131276 D196812 IM196812 SI196812 ACE196812 AMA196812 AVW196812 BFS196812 BPO196812 BZK196812 CJG196812 CTC196812 DCY196812 DMU196812 DWQ196812 EGM196812 EQI196812 FAE196812 FKA196812 FTW196812 GDS196812 GNO196812 GXK196812 HHG196812 HRC196812 IAY196812 IKU196812 IUQ196812 JEM196812 JOI196812 JYE196812 KIA196812 KRW196812 LBS196812 LLO196812 LVK196812 MFG196812 MPC196812 MYY196812 NIU196812 NSQ196812 OCM196812 OMI196812 OWE196812 PGA196812 PPW196812 PZS196812 QJO196812 QTK196812 RDG196812 RNC196812 RWY196812 SGU196812 SQQ196812 TAM196812 TKI196812 TUE196812 UEA196812 UNW196812 UXS196812 VHO196812 VRK196812 WBG196812 WLC196812 WUY196812 D262348 IM262348 SI262348 ACE262348 AMA262348 AVW262348 BFS262348 BPO262348 BZK262348 CJG262348 CTC262348 DCY262348 DMU262348 DWQ262348 EGM262348 EQI262348 FAE262348 FKA262348 FTW262348 GDS262348 GNO262348 GXK262348 HHG262348 HRC262348 IAY262348 IKU262348 IUQ262348 JEM262348 JOI262348 JYE262348 KIA262348 KRW262348 LBS262348 LLO262348 LVK262348 MFG262348 MPC262348 MYY262348 NIU262348 NSQ262348 OCM262348 OMI262348 OWE262348 PGA262348 PPW262348 PZS262348 QJO262348 QTK262348 RDG262348 RNC262348 RWY262348 SGU262348 SQQ262348 TAM262348 TKI262348 TUE262348 UEA262348 UNW262348 UXS262348 VHO262348 VRK262348 WBG262348 WLC262348 WUY262348 D327884 IM327884 SI327884 ACE327884 AMA327884 AVW327884 BFS327884 BPO327884 BZK327884 CJG327884 CTC327884 DCY327884 DMU327884 DWQ327884 EGM327884 EQI327884 FAE327884 FKA327884 FTW327884 GDS327884 GNO327884 GXK327884 HHG327884 HRC327884 IAY327884 IKU327884 IUQ327884 JEM327884 JOI327884 JYE327884 KIA327884 KRW327884 LBS327884 LLO327884 LVK327884 MFG327884 MPC327884 MYY327884 NIU327884 NSQ327884 OCM327884 OMI327884 OWE327884 PGA327884 PPW327884 PZS327884 QJO327884 QTK327884 RDG327884 RNC327884 RWY327884 SGU327884 SQQ327884 TAM327884 TKI327884 TUE327884 UEA327884 UNW327884 UXS327884 VHO327884 VRK327884 WBG327884 WLC327884 WUY327884 D393420 IM393420 SI393420 ACE393420 AMA393420 AVW393420 BFS393420 BPO393420 BZK393420 CJG393420 CTC393420 DCY393420 DMU393420 DWQ393420 EGM393420 EQI393420 FAE393420 FKA393420 FTW393420 GDS393420 GNO393420 GXK393420 HHG393420 HRC393420 IAY393420 IKU393420 IUQ393420 JEM393420 JOI393420 JYE393420 KIA393420 KRW393420 LBS393420 LLO393420 LVK393420 MFG393420 MPC393420 MYY393420 NIU393420 NSQ393420 OCM393420 OMI393420 OWE393420 PGA393420 PPW393420 PZS393420 QJO393420 QTK393420 RDG393420 RNC393420 RWY393420 SGU393420 SQQ393420 TAM393420 TKI393420 TUE393420 UEA393420 UNW393420 UXS393420 VHO393420 VRK393420 WBG393420 WLC393420 WUY393420 D458956 IM458956 SI458956 ACE458956 AMA458956 AVW458956 BFS458956 BPO458956 BZK458956 CJG458956 CTC458956 DCY458956 DMU458956 DWQ458956 EGM458956 EQI458956 FAE458956 FKA458956 FTW458956 GDS458956 GNO458956 GXK458956 HHG458956 HRC458956 IAY458956 IKU458956 IUQ458956 JEM458956 JOI458956 JYE458956 KIA458956 KRW458956 LBS458956 LLO458956 LVK458956 MFG458956 MPC458956 MYY458956 NIU458956 NSQ458956 OCM458956 OMI458956 OWE458956 PGA458956 PPW458956 PZS458956 QJO458956 QTK458956 RDG458956 RNC458956 RWY458956 SGU458956 SQQ458956 TAM458956 TKI458956 TUE458956 UEA458956 UNW458956 UXS458956 VHO458956 VRK458956 WBG458956 WLC458956 WUY458956 D524492 IM524492 SI524492 ACE524492 AMA524492 AVW524492 BFS524492 BPO524492 BZK524492 CJG524492 CTC524492 DCY524492 DMU524492 DWQ524492 EGM524492 EQI524492 FAE524492 FKA524492 FTW524492 GDS524492 GNO524492 GXK524492 HHG524492 HRC524492 IAY524492 IKU524492 IUQ524492 JEM524492 JOI524492 JYE524492 KIA524492 KRW524492 LBS524492 LLO524492 LVK524492 MFG524492 MPC524492 MYY524492 NIU524492 NSQ524492 OCM524492 OMI524492 OWE524492 PGA524492 PPW524492 PZS524492 QJO524492 QTK524492 RDG524492 RNC524492 RWY524492 SGU524492 SQQ524492 TAM524492 TKI524492 TUE524492 UEA524492 UNW524492 UXS524492 VHO524492 VRK524492 WBG524492 WLC524492 WUY524492 D590028 IM590028 SI590028 ACE590028 AMA590028 AVW590028 BFS590028 BPO590028 BZK590028 CJG590028 CTC590028 DCY590028 DMU590028 DWQ590028 EGM590028 EQI590028 FAE590028 FKA590028 FTW590028 GDS590028 GNO590028 GXK590028 HHG590028 HRC590028 IAY590028 IKU590028 IUQ590028 JEM590028 JOI590028 JYE590028 KIA590028 KRW590028 LBS590028 LLO590028 LVK590028 MFG590028 MPC590028 MYY590028 NIU590028 NSQ590028 OCM590028 OMI590028 OWE590028 PGA590028 PPW590028 PZS590028 QJO590028 QTK590028 RDG590028 RNC590028 RWY590028 SGU590028 SQQ590028 TAM590028 TKI590028 TUE590028 UEA590028 UNW590028 UXS590028 VHO590028 VRK590028 WBG590028 WLC590028 WUY590028 D655564 IM655564 SI655564 ACE655564 AMA655564 AVW655564 BFS655564 BPO655564 BZK655564 CJG655564 CTC655564 DCY655564 DMU655564 DWQ655564 EGM655564 EQI655564 FAE655564 FKA655564 FTW655564 GDS655564 GNO655564 GXK655564 HHG655564 HRC655564 IAY655564 IKU655564 IUQ655564 JEM655564 JOI655564 JYE655564 KIA655564 KRW655564 LBS655564 LLO655564 LVK655564 MFG655564 MPC655564 MYY655564 NIU655564 NSQ655564 OCM655564 OMI655564 OWE655564 PGA655564 PPW655564 PZS655564 QJO655564 QTK655564 RDG655564 RNC655564 RWY655564 SGU655564 SQQ655564 TAM655564 TKI655564 TUE655564 UEA655564 UNW655564 UXS655564 VHO655564 VRK655564 WBG655564 WLC655564 WUY655564 D721100 IM721100 SI721100 ACE721100 AMA721100 AVW721100 BFS721100 BPO721100 BZK721100 CJG721100 CTC721100 DCY721100 DMU721100 DWQ721100 EGM721100 EQI721100 FAE721100 FKA721100 FTW721100 GDS721100 GNO721100 GXK721100 HHG721100 HRC721100 IAY721100 IKU721100 IUQ721100 JEM721100 JOI721100 JYE721100 KIA721100 KRW721100 LBS721100 LLO721100 LVK721100 MFG721100 MPC721100 MYY721100 NIU721100 NSQ721100 OCM721100 OMI721100 OWE721100 PGA721100 PPW721100 PZS721100 QJO721100 QTK721100 RDG721100 RNC721100 RWY721100 SGU721100 SQQ721100 TAM721100 TKI721100 TUE721100 UEA721100 UNW721100 UXS721100 VHO721100 VRK721100 WBG721100 WLC721100 WUY721100 D786636 IM786636 SI786636 ACE786636 AMA786636 AVW786636 BFS786636 BPO786636 BZK786636 CJG786636 CTC786636 DCY786636 DMU786636 DWQ786636 EGM786636 EQI786636 FAE786636 FKA786636 FTW786636 GDS786636 GNO786636 GXK786636 HHG786636 HRC786636 IAY786636 IKU786636 IUQ786636 JEM786636 JOI786636 JYE786636 KIA786636 KRW786636 LBS786636 LLO786636 LVK786636 MFG786636 MPC786636 MYY786636 NIU786636 NSQ786636 OCM786636 OMI786636 OWE786636 PGA786636 PPW786636 PZS786636 QJO786636 QTK786636 RDG786636 RNC786636 RWY786636 SGU786636 SQQ786636 TAM786636 TKI786636 TUE786636 UEA786636 UNW786636 UXS786636 VHO786636 VRK786636 WBG786636 WLC786636 WUY786636 D852172 IM852172 SI852172 ACE852172 AMA852172 AVW852172 BFS852172 BPO852172 BZK852172 CJG852172 CTC852172 DCY852172 DMU852172 DWQ852172 EGM852172 EQI852172 FAE852172 FKA852172 FTW852172 GDS852172 GNO852172 GXK852172 HHG852172 HRC852172 IAY852172 IKU852172 IUQ852172 JEM852172 JOI852172 JYE852172 KIA852172 KRW852172 LBS852172 LLO852172 LVK852172 MFG852172 MPC852172 MYY852172 NIU852172 NSQ852172 OCM852172 OMI852172 OWE852172 PGA852172 PPW852172 PZS852172 QJO852172 QTK852172 RDG852172 RNC852172 RWY852172 SGU852172 SQQ852172 TAM852172 TKI852172 TUE852172 UEA852172 UNW852172 UXS852172 VHO852172 VRK852172 WBG852172 WLC852172 WUY852172 D917708 IM917708 SI917708 ACE917708 AMA917708 AVW917708 BFS917708 BPO917708 BZK917708 CJG917708 CTC917708 DCY917708 DMU917708 DWQ917708 EGM917708 EQI917708 FAE917708 FKA917708 FTW917708 GDS917708 GNO917708 GXK917708 HHG917708 HRC917708 IAY917708 IKU917708 IUQ917708 JEM917708 JOI917708 JYE917708 KIA917708 KRW917708 LBS917708 LLO917708 LVK917708 MFG917708 MPC917708 MYY917708 NIU917708 NSQ917708 OCM917708 OMI917708 OWE917708 PGA917708 PPW917708 PZS917708 QJO917708 QTK917708 RDG917708 RNC917708 RWY917708 SGU917708 SQQ917708 TAM917708 TKI917708 TUE917708 UEA917708 UNW917708 UXS917708 VHO917708 VRK917708 WBG917708 WLC917708 WUY917708 D983244 IM983244 SI983244 ACE983244 AMA983244 AVW983244 BFS983244 BPO983244 BZK983244 CJG983244 CTC983244 DCY983244 DMU983244 DWQ983244 EGM983244 EQI983244 FAE983244 FKA983244 FTW983244 GDS983244 GNO983244 GXK983244 HHG983244 HRC983244 IAY983244 IKU983244 IUQ983244 JEM983244 JOI983244 JYE983244 KIA983244 KRW983244 LBS983244 LLO983244 LVK983244 MFG983244 MPC983244 MYY983244 NIU983244 NSQ983244 OCM983244 OMI983244 OWE983244 PGA983244 PPW983244 PZS983244 QJO983244 QTK983244 RDG983244 RNC983244 RWY983244 SGU983244 SQQ983244 TAM983244 TKI983244 TUE983244 UEA983244 UNW983244 UXS983244 VHO983244 VRK983244 WBG983244 WLC983244" xr:uid="{00000000-0002-0000-0000-00000D000000}">
      <formula1>"0.393"</formula1>
    </dataValidation>
    <dataValidation type="list" errorStyle="information" allowBlank="1" showInputMessage="1" showErrorMessage="1" errorTitle="Capacitor" error="1.68e-8 is appropriate value for copper traces." sqref="WUY983243 IM49 SI49 ACE49 AMA49 AVW49 BFS49 BPO49 BZK49 CJG49 CTC49 DCY49 DMU49 DWQ49 EGM49 EQI49 FAE49 FKA49 FTW49 GDS49 GNO49 GXK49 HHG49 HRC49 IAY49 IKU49 IUQ49 JEM49 JOI49 JYE49 KIA49 KRW49 LBS49 LLO49 LVK49 MFG49 MPC49 MYY49 NIU49 NSQ49 OCM49 OMI49 OWE49 PGA49 PPW49 PZS49 QJO49 QTK49 RDG49 RNC49 RWY49 SGU49 SQQ49 TAM49 TKI49 TUE49 UEA49 UNW49 UXS49 VHO49 VRK49 WBG49 WLC49 WUY49 D65739 IM65739 SI65739 ACE65739 AMA65739 AVW65739 BFS65739 BPO65739 BZK65739 CJG65739 CTC65739 DCY65739 DMU65739 DWQ65739 EGM65739 EQI65739 FAE65739 FKA65739 FTW65739 GDS65739 GNO65739 GXK65739 HHG65739 HRC65739 IAY65739 IKU65739 IUQ65739 JEM65739 JOI65739 JYE65739 KIA65739 KRW65739 LBS65739 LLO65739 LVK65739 MFG65739 MPC65739 MYY65739 NIU65739 NSQ65739 OCM65739 OMI65739 OWE65739 PGA65739 PPW65739 PZS65739 QJO65739 QTK65739 RDG65739 RNC65739 RWY65739 SGU65739 SQQ65739 TAM65739 TKI65739 TUE65739 UEA65739 UNW65739 UXS65739 VHO65739 VRK65739 WBG65739 WLC65739 WUY65739 D131275 IM131275 SI131275 ACE131275 AMA131275 AVW131275 BFS131275 BPO131275 BZK131275 CJG131275 CTC131275 DCY131275 DMU131275 DWQ131275 EGM131275 EQI131275 FAE131275 FKA131275 FTW131275 GDS131275 GNO131275 GXK131275 HHG131275 HRC131275 IAY131275 IKU131275 IUQ131275 JEM131275 JOI131275 JYE131275 KIA131275 KRW131275 LBS131275 LLO131275 LVK131275 MFG131275 MPC131275 MYY131275 NIU131275 NSQ131275 OCM131275 OMI131275 OWE131275 PGA131275 PPW131275 PZS131275 QJO131275 QTK131275 RDG131275 RNC131275 RWY131275 SGU131275 SQQ131275 TAM131275 TKI131275 TUE131275 UEA131275 UNW131275 UXS131275 VHO131275 VRK131275 WBG131275 WLC131275 WUY131275 D196811 IM196811 SI196811 ACE196811 AMA196811 AVW196811 BFS196811 BPO196811 BZK196811 CJG196811 CTC196811 DCY196811 DMU196811 DWQ196811 EGM196811 EQI196811 FAE196811 FKA196811 FTW196811 GDS196811 GNO196811 GXK196811 HHG196811 HRC196811 IAY196811 IKU196811 IUQ196811 JEM196811 JOI196811 JYE196811 KIA196811 KRW196811 LBS196811 LLO196811 LVK196811 MFG196811 MPC196811 MYY196811 NIU196811 NSQ196811 OCM196811 OMI196811 OWE196811 PGA196811 PPW196811 PZS196811 QJO196811 QTK196811 RDG196811 RNC196811 RWY196811 SGU196811 SQQ196811 TAM196811 TKI196811 TUE196811 UEA196811 UNW196811 UXS196811 VHO196811 VRK196811 WBG196811 WLC196811 WUY196811 D262347 IM262347 SI262347 ACE262347 AMA262347 AVW262347 BFS262347 BPO262347 BZK262347 CJG262347 CTC262347 DCY262347 DMU262347 DWQ262347 EGM262347 EQI262347 FAE262347 FKA262347 FTW262347 GDS262347 GNO262347 GXK262347 HHG262347 HRC262347 IAY262347 IKU262347 IUQ262347 JEM262347 JOI262347 JYE262347 KIA262347 KRW262347 LBS262347 LLO262347 LVK262347 MFG262347 MPC262347 MYY262347 NIU262347 NSQ262347 OCM262347 OMI262347 OWE262347 PGA262347 PPW262347 PZS262347 QJO262347 QTK262347 RDG262347 RNC262347 RWY262347 SGU262347 SQQ262347 TAM262347 TKI262347 TUE262347 UEA262347 UNW262347 UXS262347 VHO262347 VRK262347 WBG262347 WLC262347 WUY262347 D327883 IM327883 SI327883 ACE327883 AMA327883 AVW327883 BFS327883 BPO327883 BZK327883 CJG327883 CTC327883 DCY327883 DMU327883 DWQ327883 EGM327883 EQI327883 FAE327883 FKA327883 FTW327883 GDS327883 GNO327883 GXK327883 HHG327883 HRC327883 IAY327883 IKU327883 IUQ327883 JEM327883 JOI327883 JYE327883 KIA327883 KRW327883 LBS327883 LLO327883 LVK327883 MFG327883 MPC327883 MYY327883 NIU327883 NSQ327883 OCM327883 OMI327883 OWE327883 PGA327883 PPW327883 PZS327883 QJO327883 QTK327883 RDG327883 RNC327883 RWY327883 SGU327883 SQQ327883 TAM327883 TKI327883 TUE327883 UEA327883 UNW327883 UXS327883 VHO327883 VRK327883 WBG327883 WLC327883 WUY327883 D393419 IM393419 SI393419 ACE393419 AMA393419 AVW393419 BFS393419 BPO393419 BZK393419 CJG393419 CTC393419 DCY393419 DMU393419 DWQ393419 EGM393419 EQI393419 FAE393419 FKA393419 FTW393419 GDS393419 GNO393419 GXK393419 HHG393419 HRC393419 IAY393419 IKU393419 IUQ393419 JEM393419 JOI393419 JYE393419 KIA393419 KRW393419 LBS393419 LLO393419 LVK393419 MFG393419 MPC393419 MYY393419 NIU393419 NSQ393419 OCM393419 OMI393419 OWE393419 PGA393419 PPW393419 PZS393419 QJO393419 QTK393419 RDG393419 RNC393419 RWY393419 SGU393419 SQQ393419 TAM393419 TKI393419 TUE393419 UEA393419 UNW393419 UXS393419 VHO393419 VRK393419 WBG393419 WLC393419 WUY393419 D458955 IM458955 SI458955 ACE458955 AMA458955 AVW458955 BFS458955 BPO458955 BZK458955 CJG458955 CTC458955 DCY458955 DMU458955 DWQ458955 EGM458955 EQI458955 FAE458955 FKA458955 FTW458955 GDS458955 GNO458955 GXK458955 HHG458955 HRC458955 IAY458955 IKU458955 IUQ458955 JEM458955 JOI458955 JYE458955 KIA458955 KRW458955 LBS458955 LLO458955 LVK458955 MFG458955 MPC458955 MYY458955 NIU458955 NSQ458955 OCM458955 OMI458955 OWE458955 PGA458955 PPW458955 PZS458955 QJO458955 QTK458955 RDG458955 RNC458955 RWY458955 SGU458955 SQQ458955 TAM458955 TKI458955 TUE458955 UEA458955 UNW458955 UXS458955 VHO458955 VRK458955 WBG458955 WLC458955 WUY458955 D524491 IM524491 SI524491 ACE524491 AMA524491 AVW524491 BFS524491 BPO524491 BZK524491 CJG524491 CTC524491 DCY524491 DMU524491 DWQ524491 EGM524491 EQI524491 FAE524491 FKA524491 FTW524491 GDS524491 GNO524491 GXK524491 HHG524491 HRC524491 IAY524491 IKU524491 IUQ524491 JEM524491 JOI524491 JYE524491 KIA524491 KRW524491 LBS524491 LLO524491 LVK524491 MFG524491 MPC524491 MYY524491 NIU524491 NSQ524491 OCM524491 OMI524491 OWE524491 PGA524491 PPW524491 PZS524491 QJO524491 QTK524491 RDG524491 RNC524491 RWY524491 SGU524491 SQQ524491 TAM524491 TKI524491 TUE524491 UEA524491 UNW524491 UXS524491 VHO524491 VRK524491 WBG524491 WLC524491 WUY524491 D590027 IM590027 SI590027 ACE590027 AMA590027 AVW590027 BFS590027 BPO590027 BZK590027 CJG590027 CTC590027 DCY590027 DMU590027 DWQ590027 EGM590027 EQI590027 FAE590027 FKA590027 FTW590027 GDS590027 GNO590027 GXK590027 HHG590027 HRC590027 IAY590027 IKU590027 IUQ590027 JEM590027 JOI590027 JYE590027 KIA590027 KRW590027 LBS590027 LLO590027 LVK590027 MFG590027 MPC590027 MYY590027 NIU590027 NSQ590027 OCM590027 OMI590027 OWE590027 PGA590027 PPW590027 PZS590027 QJO590027 QTK590027 RDG590027 RNC590027 RWY590027 SGU590027 SQQ590027 TAM590027 TKI590027 TUE590027 UEA590027 UNW590027 UXS590027 VHO590027 VRK590027 WBG590027 WLC590027 WUY590027 D655563 IM655563 SI655563 ACE655563 AMA655563 AVW655563 BFS655563 BPO655563 BZK655563 CJG655563 CTC655563 DCY655563 DMU655563 DWQ655563 EGM655563 EQI655563 FAE655563 FKA655563 FTW655563 GDS655563 GNO655563 GXK655563 HHG655563 HRC655563 IAY655563 IKU655563 IUQ655563 JEM655563 JOI655563 JYE655563 KIA655563 KRW655563 LBS655563 LLO655563 LVK655563 MFG655563 MPC655563 MYY655563 NIU655563 NSQ655563 OCM655563 OMI655563 OWE655563 PGA655563 PPW655563 PZS655563 QJO655563 QTK655563 RDG655563 RNC655563 RWY655563 SGU655563 SQQ655563 TAM655563 TKI655563 TUE655563 UEA655563 UNW655563 UXS655563 VHO655563 VRK655563 WBG655563 WLC655563 WUY655563 D721099 IM721099 SI721099 ACE721099 AMA721099 AVW721099 BFS721099 BPO721099 BZK721099 CJG721099 CTC721099 DCY721099 DMU721099 DWQ721099 EGM721099 EQI721099 FAE721099 FKA721099 FTW721099 GDS721099 GNO721099 GXK721099 HHG721099 HRC721099 IAY721099 IKU721099 IUQ721099 JEM721099 JOI721099 JYE721099 KIA721099 KRW721099 LBS721099 LLO721099 LVK721099 MFG721099 MPC721099 MYY721099 NIU721099 NSQ721099 OCM721099 OMI721099 OWE721099 PGA721099 PPW721099 PZS721099 QJO721099 QTK721099 RDG721099 RNC721099 RWY721099 SGU721099 SQQ721099 TAM721099 TKI721099 TUE721099 UEA721099 UNW721099 UXS721099 VHO721099 VRK721099 WBG721099 WLC721099 WUY721099 D786635 IM786635 SI786635 ACE786635 AMA786635 AVW786635 BFS786635 BPO786635 BZK786635 CJG786635 CTC786635 DCY786635 DMU786635 DWQ786635 EGM786635 EQI786635 FAE786635 FKA786635 FTW786635 GDS786635 GNO786635 GXK786635 HHG786635 HRC786635 IAY786635 IKU786635 IUQ786635 JEM786635 JOI786635 JYE786635 KIA786635 KRW786635 LBS786635 LLO786635 LVK786635 MFG786635 MPC786635 MYY786635 NIU786635 NSQ786635 OCM786635 OMI786635 OWE786635 PGA786635 PPW786635 PZS786635 QJO786635 QTK786635 RDG786635 RNC786635 RWY786635 SGU786635 SQQ786635 TAM786635 TKI786635 TUE786635 UEA786635 UNW786635 UXS786635 VHO786635 VRK786635 WBG786635 WLC786635 WUY786635 D852171 IM852171 SI852171 ACE852171 AMA852171 AVW852171 BFS852171 BPO852171 BZK852171 CJG852171 CTC852171 DCY852171 DMU852171 DWQ852171 EGM852171 EQI852171 FAE852171 FKA852171 FTW852171 GDS852171 GNO852171 GXK852171 HHG852171 HRC852171 IAY852171 IKU852171 IUQ852171 JEM852171 JOI852171 JYE852171 KIA852171 KRW852171 LBS852171 LLO852171 LVK852171 MFG852171 MPC852171 MYY852171 NIU852171 NSQ852171 OCM852171 OMI852171 OWE852171 PGA852171 PPW852171 PZS852171 QJO852171 QTK852171 RDG852171 RNC852171 RWY852171 SGU852171 SQQ852171 TAM852171 TKI852171 TUE852171 UEA852171 UNW852171 UXS852171 VHO852171 VRK852171 WBG852171 WLC852171 WUY852171 D917707 IM917707 SI917707 ACE917707 AMA917707 AVW917707 BFS917707 BPO917707 BZK917707 CJG917707 CTC917707 DCY917707 DMU917707 DWQ917707 EGM917707 EQI917707 FAE917707 FKA917707 FTW917707 GDS917707 GNO917707 GXK917707 HHG917707 HRC917707 IAY917707 IKU917707 IUQ917707 JEM917707 JOI917707 JYE917707 KIA917707 KRW917707 LBS917707 LLO917707 LVK917707 MFG917707 MPC917707 MYY917707 NIU917707 NSQ917707 OCM917707 OMI917707 OWE917707 PGA917707 PPW917707 PZS917707 QJO917707 QTK917707 RDG917707 RNC917707 RWY917707 SGU917707 SQQ917707 TAM917707 TKI917707 TUE917707 UEA917707 UNW917707 UXS917707 VHO917707 VRK917707 WBG917707 WLC917707 WUY917707 D983243 IM983243 SI983243 ACE983243 AMA983243 AVW983243 BFS983243 BPO983243 BZK983243 CJG983243 CTC983243 DCY983243 DMU983243 DWQ983243 EGM983243 EQI983243 FAE983243 FKA983243 FTW983243 GDS983243 GNO983243 GXK983243 HHG983243 HRC983243 IAY983243 IKU983243 IUQ983243 JEM983243 JOI983243 JYE983243 KIA983243 KRW983243 LBS983243 LLO983243 LVK983243 MFG983243 MPC983243 MYY983243 NIU983243 NSQ983243 OCM983243 OMI983243 OWE983243 PGA983243 PPW983243 PZS983243 QJO983243 QTK983243 RDG983243 RNC983243 RWY983243 SGU983243 SQQ983243 TAM983243 TKI983243 TUE983243 UEA983243 UNW983243 UXS983243 VHO983243 VRK983243 WBG983243 WLC983243" xr:uid="{00000000-0002-0000-0000-00000E000000}">
      <formula1>"1.68e-8"</formula1>
    </dataValidation>
    <dataValidation type="decimal" operator="greaterThan" allowBlank="1" showInputMessage="1" showErrorMessage="1" sqref="D24 IM24 SI24 ACE24 AMA24 AVW24 BFS24 BPO24 BZK24 CJG24 CTC24 DCY24 DMU24 DWQ24 EGM24 EQI24 FAE24 FKA24 FTW24 GDS24 GNO24 GXK24 HHG24 HRC24 IAY24 IKU24 IUQ24 JEM24 JOI24 JYE24 KIA24 KRW24 LBS24 LLO24 LVK24 MFG24 MPC24 MYY24 NIU24 NSQ24 OCM24 OMI24 OWE24 PGA24 PPW24 PZS24 QJO24 QTK24 RDG24 RNC24 RWY24 SGU24 SQQ24 TAM24 TKI24 TUE24 UEA24 UNW24 UXS24 VHO24 VRK24 WBG24 WLC24 WUY24 D65723 IM65723 SI65723 ACE65723 AMA65723 AVW65723 BFS65723 BPO65723 BZK65723 CJG65723 CTC65723 DCY65723 DMU65723 DWQ65723 EGM65723 EQI65723 FAE65723 FKA65723 FTW65723 GDS65723 GNO65723 GXK65723 HHG65723 HRC65723 IAY65723 IKU65723 IUQ65723 JEM65723 JOI65723 JYE65723 KIA65723 KRW65723 LBS65723 LLO65723 LVK65723 MFG65723 MPC65723 MYY65723 NIU65723 NSQ65723 OCM65723 OMI65723 OWE65723 PGA65723 PPW65723 PZS65723 QJO65723 QTK65723 RDG65723 RNC65723 RWY65723 SGU65723 SQQ65723 TAM65723 TKI65723 TUE65723 UEA65723 UNW65723 UXS65723 VHO65723 VRK65723 WBG65723 WLC65723 WUY65723 D131259 IM131259 SI131259 ACE131259 AMA131259 AVW131259 BFS131259 BPO131259 BZK131259 CJG131259 CTC131259 DCY131259 DMU131259 DWQ131259 EGM131259 EQI131259 FAE131259 FKA131259 FTW131259 GDS131259 GNO131259 GXK131259 HHG131259 HRC131259 IAY131259 IKU131259 IUQ131259 JEM131259 JOI131259 JYE131259 KIA131259 KRW131259 LBS131259 LLO131259 LVK131259 MFG131259 MPC131259 MYY131259 NIU131259 NSQ131259 OCM131259 OMI131259 OWE131259 PGA131259 PPW131259 PZS131259 QJO131259 QTK131259 RDG131259 RNC131259 RWY131259 SGU131259 SQQ131259 TAM131259 TKI131259 TUE131259 UEA131259 UNW131259 UXS131259 VHO131259 VRK131259 WBG131259 WLC131259 WUY131259 D196795 IM196795 SI196795 ACE196795 AMA196795 AVW196795 BFS196795 BPO196795 BZK196795 CJG196795 CTC196795 DCY196795 DMU196795 DWQ196795 EGM196795 EQI196795 FAE196795 FKA196795 FTW196795 GDS196795 GNO196795 GXK196795 HHG196795 HRC196795 IAY196795 IKU196795 IUQ196795 JEM196795 JOI196795 JYE196795 KIA196795 KRW196795 LBS196795 LLO196795 LVK196795 MFG196795 MPC196795 MYY196795 NIU196795 NSQ196795 OCM196795 OMI196795 OWE196795 PGA196795 PPW196795 PZS196795 QJO196795 QTK196795 RDG196795 RNC196795 RWY196795 SGU196795 SQQ196795 TAM196795 TKI196795 TUE196795 UEA196795 UNW196795 UXS196795 VHO196795 VRK196795 WBG196795 WLC196795 WUY196795 D262331 IM262331 SI262331 ACE262331 AMA262331 AVW262331 BFS262331 BPO262331 BZK262331 CJG262331 CTC262331 DCY262331 DMU262331 DWQ262331 EGM262331 EQI262331 FAE262331 FKA262331 FTW262331 GDS262331 GNO262331 GXK262331 HHG262331 HRC262331 IAY262331 IKU262331 IUQ262331 JEM262331 JOI262331 JYE262331 KIA262331 KRW262331 LBS262331 LLO262331 LVK262331 MFG262331 MPC262331 MYY262331 NIU262331 NSQ262331 OCM262331 OMI262331 OWE262331 PGA262331 PPW262331 PZS262331 QJO262331 QTK262331 RDG262331 RNC262331 RWY262331 SGU262331 SQQ262331 TAM262331 TKI262331 TUE262331 UEA262331 UNW262331 UXS262331 VHO262331 VRK262331 WBG262331 WLC262331 WUY262331 D327867 IM327867 SI327867 ACE327867 AMA327867 AVW327867 BFS327867 BPO327867 BZK327867 CJG327867 CTC327867 DCY327867 DMU327867 DWQ327867 EGM327867 EQI327867 FAE327867 FKA327867 FTW327867 GDS327867 GNO327867 GXK327867 HHG327867 HRC327867 IAY327867 IKU327867 IUQ327867 JEM327867 JOI327867 JYE327867 KIA327867 KRW327867 LBS327867 LLO327867 LVK327867 MFG327867 MPC327867 MYY327867 NIU327867 NSQ327867 OCM327867 OMI327867 OWE327867 PGA327867 PPW327867 PZS327867 QJO327867 QTK327867 RDG327867 RNC327867 RWY327867 SGU327867 SQQ327867 TAM327867 TKI327867 TUE327867 UEA327867 UNW327867 UXS327867 VHO327867 VRK327867 WBG327867 WLC327867 WUY327867 D393403 IM393403 SI393403 ACE393403 AMA393403 AVW393403 BFS393403 BPO393403 BZK393403 CJG393403 CTC393403 DCY393403 DMU393403 DWQ393403 EGM393403 EQI393403 FAE393403 FKA393403 FTW393403 GDS393403 GNO393403 GXK393403 HHG393403 HRC393403 IAY393403 IKU393403 IUQ393403 JEM393403 JOI393403 JYE393403 KIA393403 KRW393403 LBS393403 LLO393403 LVK393403 MFG393403 MPC393403 MYY393403 NIU393403 NSQ393403 OCM393403 OMI393403 OWE393403 PGA393403 PPW393403 PZS393403 QJO393403 QTK393403 RDG393403 RNC393403 RWY393403 SGU393403 SQQ393403 TAM393403 TKI393403 TUE393403 UEA393403 UNW393403 UXS393403 VHO393403 VRK393403 WBG393403 WLC393403 WUY393403 D458939 IM458939 SI458939 ACE458939 AMA458939 AVW458939 BFS458939 BPO458939 BZK458939 CJG458939 CTC458939 DCY458939 DMU458939 DWQ458939 EGM458939 EQI458939 FAE458939 FKA458939 FTW458939 GDS458939 GNO458939 GXK458939 HHG458939 HRC458939 IAY458939 IKU458939 IUQ458939 JEM458939 JOI458939 JYE458939 KIA458939 KRW458939 LBS458939 LLO458939 LVK458939 MFG458939 MPC458939 MYY458939 NIU458939 NSQ458939 OCM458939 OMI458939 OWE458939 PGA458939 PPW458939 PZS458939 QJO458939 QTK458939 RDG458939 RNC458939 RWY458939 SGU458939 SQQ458939 TAM458939 TKI458939 TUE458939 UEA458939 UNW458939 UXS458939 VHO458939 VRK458939 WBG458939 WLC458939 WUY458939 D524475 IM524475 SI524475 ACE524475 AMA524475 AVW524475 BFS524475 BPO524475 BZK524475 CJG524475 CTC524475 DCY524475 DMU524475 DWQ524475 EGM524475 EQI524475 FAE524475 FKA524475 FTW524475 GDS524475 GNO524475 GXK524475 HHG524475 HRC524475 IAY524475 IKU524475 IUQ524475 JEM524475 JOI524475 JYE524475 KIA524475 KRW524475 LBS524475 LLO524475 LVK524475 MFG524475 MPC524475 MYY524475 NIU524475 NSQ524475 OCM524475 OMI524475 OWE524475 PGA524475 PPW524475 PZS524475 QJO524475 QTK524475 RDG524475 RNC524475 RWY524475 SGU524475 SQQ524475 TAM524475 TKI524475 TUE524475 UEA524475 UNW524475 UXS524475 VHO524475 VRK524475 WBG524475 WLC524475 WUY524475 D590011 IM590011 SI590011 ACE590011 AMA590011 AVW590011 BFS590011 BPO590011 BZK590011 CJG590011 CTC590011 DCY590011 DMU590011 DWQ590011 EGM590011 EQI590011 FAE590011 FKA590011 FTW590011 GDS590011 GNO590011 GXK590011 HHG590011 HRC590011 IAY590011 IKU590011 IUQ590011 JEM590011 JOI590011 JYE590011 KIA590011 KRW590011 LBS590011 LLO590011 LVK590011 MFG590011 MPC590011 MYY590011 NIU590011 NSQ590011 OCM590011 OMI590011 OWE590011 PGA590011 PPW590011 PZS590011 QJO590011 QTK590011 RDG590011 RNC590011 RWY590011 SGU590011 SQQ590011 TAM590011 TKI590011 TUE590011 UEA590011 UNW590011 UXS590011 VHO590011 VRK590011 WBG590011 WLC590011 WUY590011 D655547 IM655547 SI655547 ACE655547 AMA655547 AVW655547 BFS655547 BPO655547 BZK655547 CJG655547 CTC655547 DCY655547 DMU655547 DWQ655547 EGM655547 EQI655547 FAE655547 FKA655547 FTW655547 GDS655547 GNO655547 GXK655547 HHG655547 HRC655547 IAY655547 IKU655547 IUQ655547 JEM655547 JOI655547 JYE655547 KIA655547 KRW655547 LBS655547 LLO655547 LVK655547 MFG655547 MPC655547 MYY655547 NIU655547 NSQ655547 OCM655547 OMI655547 OWE655547 PGA655547 PPW655547 PZS655547 QJO655547 QTK655547 RDG655547 RNC655547 RWY655547 SGU655547 SQQ655547 TAM655547 TKI655547 TUE655547 UEA655547 UNW655547 UXS655547 VHO655547 VRK655547 WBG655547 WLC655547 WUY655547 D721083 IM721083 SI721083 ACE721083 AMA721083 AVW721083 BFS721083 BPO721083 BZK721083 CJG721083 CTC721083 DCY721083 DMU721083 DWQ721083 EGM721083 EQI721083 FAE721083 FKA721083 FTW721083 GDS721083 GNO721083 GXK721083 HHG721083 HRC721083 IAY721083 IKU721083 IUQ721083 JEM721083 JOI721083 JYE721083 KIA721083 KRW721083 LBS721083 LLO721083 LVK721083 MFG721083 MPC721083 MYY721083 NIU721083 NSQ721083 OCM721083 OMI721083 OWE721083 PGA721083 PPW721083 PZS721083 QJO721083 QTK721083 RDG721083 RNC721083 RWY721083 SGU721083 SQQ721083 TAM721083 TKI721083 TUE721083 UEA721083 UNW721083 UXS721083 VHO721083 VRK721083 WBG721083 WLC721083 WUY721083 D786619 IM786619 SI786619 ACE786619 AMA786619 AVW786619 BFS786619 BPO786619 BZK786619 CJG786619 CTC786619 DCY786619 DMU786619 DWQ786619 EGM786619 EQI786619 FAE786619 FKA786619 FTW786619 GDS786619 GNO786619 GXK786619 HHG786619 HRC786619 IAY786619 IKU786619 IUQ786619 JEM786619 JOI786619 JYE786619 KIA786619 KRW786619 LBS786619 LLO786619 LVK786619 MFG786619 MPC786619 MYY786619 NIU786619 NSQ786619 OCM786619 OMI786619 OWE786619 PGA786619 PPW786619 PZS786619 QJO786619 QTK786619 RDG786619 RNC786619 RWY786619 SGU786619 SQQ786619 TAM786619 TKI786619 TUE786619 UEA786619 UNW786619 UXS786619 VHO786619 VRK786619 WBG786619 WLC786619 WUY786619 D852155 IM852155 SI852155 ACE852155 AMA852155 AVW852155 BFS852155 BPO852155 BZK852155 CJG852155 CTC852155 DCY852155 DMU852155 DWQ852155 EGM852155 EQI852155 FAE852155 FKA852155 FTW852155 GDS852155 GNO852155 GXK852155 HHG852155 HRC852155 IAY852155 IKU852155 IUQ852155 JEM852155 JOI852155 JYE852155 KIA852155 KRW852155 LBS852155 LLO852155 LVK852155 MFG852155 MPC852155 MYY852155 NIU852155 NSQ852155 OCM852155 OMI852155 OWE852155 PGA852155 PPW852155 PZS852155 QJO852155 QTK852155 RDG852155 RNC852155 RWY852155 SGU852155 SQQ852155 TAM852155 TKI852155 TUE852155 UEA852155 UNW852155 UXS852155 VHO852155 VRK852155 WBG852155 WLC852155 WUY852155 D917691 IM917691 SI917691 ACE917691 AMA917691 AVW917691 BFS917691 BPO917691 BZK917691 CJG917691 CTC917691 DCY917691 DMU917691 DWQ917691 EGM917691 EQI917691 FAE917691 FKA917691 FTW917691 GDS917691 GNO917691 GXK917691 HHG917691 HRC917691 IAY917691 IKU917691 IUQ917691 JEM917691 JOI917691 JYE917691 KIA917691 KRW917691 LBS917691 LLO917691 LVK917691 MFG917691 MPC917691 MYY917691 NIU917691 NSQ917691 OCM917691 OMI917691 OWE917691 PGA917691 PPW917691 PZS917691 QJO917691 QTK917691 RDG917691 RNC917691 RWY917691 SGU917691 SQQ917691 TAM917691 TKI917691 TUE917691 UEA917691 UNW917691 UXS917691 VHO917691 VRK917691 WBG917691 WLC917691 WUY917691 D983227 IM983227 SI983227 ACE983227 AMA983227 AVW983227 BFS983227 BPO983227 BZK983227 CJG983227 CTC983227 DCY983227 DMU983227 DWQ983227 EGM983227 EQI983227 FAE983227 FKA983227 FTW983227 GDS983227 GNO983227 GXK983227 HHG983227 HRC983227 IAY983227 IKU983227 IUQ983227 JEM983227 JOI983227 JYE983227 KIA983227 KRW983227 LBS983227 LLO983227 LVK983227 MFG983227 MPC983227 MYY983227 NIU983227 NSQ983227 OCM983227 OMI983227 OWE983227 PGA983227 PPW983227 PZS983227 QJO983227 QTK983227 RDG983227 RNC983227 RWY983227 SGU983227 SQQ983227 TAM983227 TKI983227 TUE983227 UEA983227 UNW983227 UXS983227 VHO983227 VRK983227 WBG983227 WLC983227 WUY983227" xr:uid="{00000000-0002-0000-0000-00000F000000}">
      <formula1>0.1</formula1>
    </dataValidation>
    <dataValidation type="list" showInputMessage="1" showErrorMessage="1" sqref="E38:E45 IN59 SJ59 ACF59 AMB59 AVX59 BFT59 BPP59 BZL59 CJH59 CTD59 DCZ59 DMV59 DWR59 EGN59 EQJ59 FAF59 FKB59 FTX59 GDT59 GNP59 GXL59 HHH59 HRD59 IAZ59 IKV59 IUR59 JEN59 JOJ59 JYF59 KIB59 KRX59 LBT59 LLP59 LVL59 MFH59 MPD59 MYZ59 NIV59 NSR59 OCN59 OMJ59 OWF59 PGB59 PPX59 PZT59 QJP59 QTL59 RDH59 RND59 RWZ59 SGV59 SQR59 TAN59 TKJ59 TUF59 UEB59 UNX59 UXT59 VHP59 VRL59 WBH59 WLD59 WUZ59 E65747 IN65747 SJ65747 ACF65747 AMB65747 AVX65747 BFT65747 BPP65747 BZL65747 CJH65747 CTD65747 DCZ65747 DMV65747 DWR65747 EGN65747 EQJ65747 FAF65747 FKB65747 FTX65747 GDT65747 GNP65747 GXL65747 HHH65747 HRD65747 IAZ65747 IKV65747 IUR65747 JEN65747 JOJ65747 JYF65747 KIB65747 KRX65747 LBT65747 LLP65747 LVL65747 MFH65747 MPD65747 MYZ65747 NIV65747 NSR65747 OCN65747 OMJ65747 OWF65747 PGB65747 PPX65747 PZT65747 QJP65747 QTL65747 RDH65747 RND65747 RWZ65747 SGV65747 SQR65747 TAN65747 TKJ65747 TUF65747 UEB65747 UNX65747 UXT65747 VHP65747 VRL65747 WBH65747 WLD65747 WUZ65747 E131283 IN131283 SJ131283 ACF131283 AMB131283 AVX131283 BFT131283 BPP131283 BZL131283 CJH131283 CTD131283 DCZ131283 DMV131283 DWR131283 EGN131283 EQJ131283 FAF131283 FKB131283 FTX131283 GDT131283 GNP131283 GXL131283 HHH131283 HRD131283 IAZ131283 IKV131283 IUR131283 JEN131283 JOJ131283 JYF131283 KIB131283 KRX131283 LBT131283 LLP131283 LVL131283 MFH131283 MPD131283 MYZ131283 NIV131283 NSR131283 OCN131283 OMJ131283 OWF131283 PGB131283 PPX131283 PZT131283 QJP131283 QTL131283 RDH131283 RND131283 RWZ131283 SGV131283 SQR131283 TAN131283 TKJ131283 TUF131283 UEB131283 UNX131283 UXT131283 VHP131283 VRL131283 WBH131283 WLD131283 WUZ131283 E196819 IN196819 SJ196819 ACF196819 AMB196819 AVX196819 BFT196819 BPP196819 BZL196819 CJH196819 CTD196819 DCZ196819 DMV196819 DWR196819 EGN196819 EQJ196819 FAF196819 FKB196819 FTX196819 GDT196819 GNP196819 GXL196819 HHH196819 HRD196819 IAZ196819 IKV196819 IUR196819 JEN196819 JOJ196819 JYF196819 KIB196819 KRX196819 LBT196819 LLP196819 LVL196819 MFH196819 MPD196819 MYZ196819 NIV196819 NSR196819 OCN196819 OMJ196819 OWF196819 PGB196819 PPX196819 PZT196819 QJP196819 QTL196819 RDH196819 RND196819 RWZ196819 SGV196819 SQR196819 TAN196819 TKJ196819 TUF196819 UEB196819 UNX196819 UXT196819 VHP196819 VRL196819 WBH196819 WLD196819 WUZ196819 E262355 IN262355 SJ262355 ACF262355 AMB262355 AVX262355 BFT262355 BPP262355 BZL262355 CJH262355 CTD262355 DCZ262355 DMV262355 DWR262355 EGN262355 EQJ262355 FAF262355 FKB262355 FTX262355 GDT262355 GNP262355 GXL262355 HHH262355 HRD262355 IAZ262355 IKV262355 IUR262355 JEN262355 JOJ262355 JYF262355 KIB262355 KRX262355 LBT262355 LLP262355 LVL262355 MFH262355 MPD262355 MYZ262355 NIV262355 NSR262355 OCN262355 OMJ262355 OWF262355 PGB262355 PPX262355 PZT262355 QJP262355 QTL262355 RDH262355 RND262355 RWZ262355 SGV262355 SQR262355 TAN262355 TKJ262355 TUF262355 UEB262355 UNX262355 UXT262355 VHP262355 VRL262355 WBH262355 WLD262355 WUZ262355 E327891 IN327891 SJ327891 ACF327891 AMB327891 AVX327891 BFT327891 BPP327891 BZL327891 CJH327891 CTD327891 DCZ327891 DMV327891 DWR327891 EGN327891 EQJ327891 FAF327891 FKB327891 FTX327891 GDT327891 GNP327891 GXL327891 HHH327891 HRD327891 IAZ327891 IKV327891 IUR327891 JEN327891 JOJ327891 JYF327891 KIB327891 KRX327891 LBT327891 LLP327891 LVL327891 MFH327891 MPD327891 MYZ327891 NIV327891 NSR327891 OCN327891 OMJ327891 OWF327891 PGB327891 PPX327891 PZT327891 QJP327891 QTL327891 RDH327891 RND327891 RWZ327891 SGV327891 SQR327891 TAN327891 TKJ327891 TUF327891 UEB327891 UNX327891 UXT327891 VHP327891 VRL327891 WBH327891 WLD327891 WUZ327891 E393427 IN393427 SJ393427 ACF393427 AMB393427 AVX393427 BFT393427 BPP393427 BZL393427 CJH393427 CTD393427 DCZ393427 DMV393427 DWR393427 EGN393427 EQJ393427 FAF393427 FKB393427 FTX393427 GDT393427 GNP393427 GXL393427 HHH393427 HRD393427 IAZ393427 IKV393427 IUR393427 JEN393427 JOJ393427 JYF393427 KIB393427 KRX393427 LBT393427 LLP393427 LVL393427 MFH393427 MPD393427 MYZ393427 NIV393427 NSR393427 OCN393427 OMJ393427 OWF393427 PGB393427 PPX393427 PZT393427 QJP393427 QTL393427 RDH393427 RND393427 RWZ393427 SGV393427 SQR393427 TAN393427 TKJ393427 TUF393427 UEB393427 UNX393427 UXT393427 VHP393427 VRL393427 WBH393427 WLD393427 WUZ393427 E458963 IN458963 SJ458963 ACF458963 AMB458963 AVX458963 BFT458963 BPP458963 BZL458963 CJH458963 CTD458963 DCZ458963 DMV458963 DWR458963 EGN458963 EQJ458963 FAF458963 FKB458963 FTX458963 GDT458963 GNP458963 GXL458963 HHH458963 HRD458963 IAZ458963 IKV458963 IUR458963 JEN458963 JOJ458963 JYF458963 KIB458963 KRX458963 LBT458963 LLP458963 LVL458963 MFH458963 MPD458963 MYZ458963 NIV458963 NSR458963 OCN458963 OMJ458963 OWF458963 PGB458963 PPX458963 PZT458963 QJP458963 QTL458963 RDH458963 RND458963 RWZ458963 SGV458963 SQR458963 TAN458963 TKJ458963 TUF458963 UEB458963 UNX458963 UXT458963 VHP458963 VRL458963 WBH458963 WLD458963 WUZ458963 E524499 IN524499 SJ524499 ACF524499 AMB524499 AVX524499 BFT524499 BPP524499 BZL524499 CJH524499 CTD524499 DCZ524499 DMV524499 DWR524499 EGN524499 EQJ524499 FAF524499 FKB524499 FTX524499 GDT524499 GNP524499 GXL524499 HHH524499 HRD524499 IAZ524499 IKV524499 IUR524499 JEN524499 JOJ524499 JYF524499 KIB524499 KRX524499 LBT524499 LLP524499 LVL524499 MFH524499 MPD524499 MYZ524499 NIV524499 NSR524499 OCN524499 OMJ524499 OWF524499 PGB524499 PPX524499 PZT524499 QJP524499 QTL524499 RDH524499 RND524499 RWZ524499 SGV524499 SQR524499 TAN524499 TKJ524499 TUF524499 UEB524499 UNX524499 UXT524499 VHP524499 VRL524499 WBH524499 WLD524499 WUZ524499 E590035 IN590035 SJ590035 ACF590035 AMB590035 AVX590035 BFT590035 BPP590035 BZL590035 CJH590035 CTD590035 DCZ590035 DMV590035 DWR590035 EGN590035 EQJ590035 FAF590035 FKB590035 FTX590035 GDT590035 GNP590035 GXL590035 HHH590035 HRD590035 IAZ590035 IKV590035 IUR590035 JEN590035 JOJ590035 JYF590035 KIB590035 KRX590035 LBT590035 LLP590035 LVL590035 MFH590035 MPD590035 MYZ590035 NIV590035 NSR590035 OCN590035 OMJ590035 OWF590035 PGB590035 PPX590035 PZT590035 QJP590035 QTL590035 RDH590035 RND590035 RWZ590035 SGV590035 SQR590035 TAN590035 TKJ590035 TUF590035 UEB590035 UNX590035 UXT590035 VHP590035 VRL590035 WBH590035 WLD590035 WUZ590035 E655571 IN655571 SJ655571 ACF655571 AMB655571 AVX655571 BFT655571 BPP655571 BZL655571 CJH655571 CTD655571 DCZ655571 DMV655571 DWR655571 EGN655571 EQJ655571 FAF655571 FKB655571 FTX655571 GDT655571 GNP655571 GXL655571 HHH655571 HRD655571 IAZ655571 IKV655571 IUR655571 JEN655571 JOJ655571 JYF655571 KIB655571 KRX655571 LBT655571 LLP655571 LVL655571 MFH655571 MPD655571 MYZ655571 NIV655571 NSR655571 OCN655571 OMJ655571 OWF655571 PGB655571 PPX655571 PZT655571 QJP655571 QTL655571 RDH655571 RND655571 RWZ655571 SGV655571 SQR655571 TAN655571 TKJ655571 TUF655571 UEB655571 UNX655571 UXT655571 VHP655571 VRL655571 WBH655571 WLD655571 WUZ655571 E721107 IN721107 SJ721107 ACF721107 AMB721107 AVX721107 BFT721107 BPP721107 BZL721107 CJH721107 CTD721107 DCZ721107 DMV721107 DWR721107 EGN721107 EQJ721107 FAF721107 FKB721107 FTX721107 GDT721107 GNP721107 GXL721107 HHH721107 HRD721107 IAZ721107 IKV721107 IUR721107 JEN721107 JOJ721107 JYF721107 KIB721107 KRX721107 LBT721107 LLP721107 LVL721107 MFH721107 MPD721107 MYZ721107 NIV721107 NSR721107 OCN721107 OMJ721107 OWF721107 PGB721107 PPX721107 PZT721107 QJP721107 QTL721107 RDH721107 RND721107 RWZ721107 SGV721107 SQR721107 TAN721107 TKJ721107 TUF721107 UEB721107 UNX721107 UXT721107 VHP721107 VRL721107 WBH721107 WLD721107 WUZ721107 E786643 IN786643 SJ786643 ACF786643 AMB786643 AVX786643 BFT786643 BPP786643 BZL786643 CJH786643 CTD786643 DCZ786643 DMV786643 DWR786643 EGN786643 EQJ786643 FAF786643 FKB786643 FTX786643 GDT786643 GNP786643 GXL786643 HHH786643 HRD786643 IAZ786643 IKV786643 IUR786643 JEN786643 JOJ786643 JYF786643 KIB786643 KRX786643 LBT786643 LLP786643 LVL786643 MFH786643 MPD786643 MYZ786643 NIV786643 NSR786643 OCN786643 OMJ786643 OWF786643 PGB786643 PPX786643 PZT786643 QJP786643 QTL786643 RDH786643 RND786643 RWZ786643 SGV786643 SQR786643 TAN786643 TKJ786643 TUF786643 UEB786643 UNX786643 UXT786643 VHP786643 VRL786643 WBH786643 WLD786643 WUZ786643 E852179 IN852179 SJ852179 ACF852179 AMB852179 AVX852179 BFT852179 BPP852179 BZL852179 CJH852179 CTD852179 DCZ852179 DMV852179 DWR852179 EGN852179 EQJ852179 FAF852179 FKB852179 FTX852179 GDT852179 GNP852179 GXL852179 HHH852179 HRD852179 IAZ852179 IKV852179 IUR852179 JEN852179 JOJ852179 JYF852179 KIB852179 KRX852179 LBT852179 LLP852179 LVL852179 MFH852179 MPD852179 MYZ852179 NIV852179 NSR852179 OCN852179 OMJ852179 OWF852179 PGB852179 PPX852179 PZT852179 QJP852179 QTL852179 RDH852179 RND852179 RWZ852179 SGV852179 SQR852179 TAN852179 TKJ852179 TUF852179 UEB852179 UNX852179 UXT852179 VHP852179 VRL852179 WBH852179 WLD852179 WUZ852179 E917715 IN917715 SJ917715 ACF917715 AMB917715 AVX917715 BFT917715 BPP917715 BZL917715 CJH917715 CTD917715 DCZ917715 DMV917715 DWR917715 EGN917715 EQJ917715 FAF917715 FKB917715 FTX917715 GDT917715 GNP917715 GXL917715 HHH917715 HRD917715 IAZ917715 IKV917715 IUR917715 JEN917715 JOJ917715 JYF917715 KIB917715 KRX917715 LBT917715 LLP917715 LVL917715 MFH917715 MPD917715 MYZ917715 NIV917715 NSR917715 OCN917715 OMJ917715 OWF917715 PGB917715 PPX917715 PZT917715 QJP917715 QTL917715 RDH917715 RND917715 RWZ917715 SGV917715 SQR917715 TAN917715 TKJ917715 TUF917715 UEB917715 UNX917715 UXT917715 VHP917715 VRL917715 WBH917715 WLD917715 WUZ917715 E983251 IN983251 SJ983251 ACF983251 AMB983251 AVX983251 BFT983251 BPP983251 BZL983251 CJH983251 CTD983251 DCZ983251 DMV983251 DWR983251 EGN983251 EQJ983251 FAF983251 FKB983251 FTX983251 GDT983251 GNP983251 GXL983251 HHH983251 HRD983251 IAZ983251 IKV983251 IUR983251 JEN983251 JOJ983251 JYF983251 KIB983251 KRX983251 LBT983251 LLP983251 LVL983251 MFH983251 MPD983251 MYZ983251 NIV983251 NSR983251 OCN983251 OMJ983251 OWF983251 PGB983251 PPX983251 PZT983251 QJP983251 QTL983251 RDH983251 RND983251 RWZ983251 SGV983251 SQR983251 TAN983251 TKJ983251 TUF983251 UEB983251 UNX983251 UXT983251 VHP983251 VRL983251 WBH983251 WLD983251 WUZ983251 WUZ983228 IN33:IN45 SJ33:SJ45 ACF33:ACF45 AMB33:AMB45 AVX33:AVX45 BFT33:BFT45 BPP33:BPP45 BZL33:BZL45 CJH33:CJH45 CTD33:CTD45 DCZ33:DCZ45 DMV33:DMV45 DWR33:DWR45 EGN33:EGN45 EQJ33:EQJ45 FAF33:FAF45 FKB33:FKB45 FTX33:FTX45 GDT33:GDT45 GNP33:GNP45 GXL33:GXL45 HHH33:HHH45 HRD33:HRD45 IAZ33:IAZ45 IKV33:IKV45 IUR33:IUR45 JEN33:JEN45 JOJ33:JOJ45 JYF33:JYF45 KIB33:KIB45 KRX33:KRX45 LBT33:LBT45 LLP33:LLP45 LVL33:LVL45 MFH33:MFH45 MPD33:MPD45 MYZ33:MYZ45 NIV33:NIV45 NSR33:NSR45 OCN33:OCN45 OMJ33:OMJ45 OWF33:OWF45 PGB33:PGB45 PPX33:PPX45 PZT33:PZT45 QJP33:QJP45 QTL33:QTL45 RDH33:RDH45 RND33:RND45 RWZ33:RWZ45 SGV33:SGV45 SQR33:SQR45 TAN33:TAN45 TKJ33:TKJ45 TUF33:TUF45 UEB33:UEB45 UNX33:UNX45 UXT33:UXT45 VHP33:VHP45 VRL33:VRL45 WBH33:WBH45 WLD33:WLD45 WUZ33:WUZ45 E65729:E65737 IN65729:IN65737 SJ65729:SJ65737 ACF65729:ACF65737 AMB65729:AMB65737 AVX65729:AVX65737 BFT65729:BFT65737 BPP65729:BPP65737 BZL65729:BZL65737 CJH65729:CJH65737 CTD65729:CTD65737 DCZ65729:DCZ65737 DMV65729:DMV65737 DWR65729:DWR65737 EGN65729:EGN65737 EQJ65729:EQJ65737 FAF65729:FAF65737 FKB65729:FKB65737 FTX65729:FTX65737 GDT65729:GDT65737 GNP65729:GNP65737 GXL65729:GXL65737 HHH65729:HHH65737 HRD65729:HRD65737 IAZ65729:IAZ65737 IKV65729:IKV65737 IUR65729:IUR65737 JEN65729:JEN65737 JOJ65729:JOJ65737 JYF65729:JYF65737 KIB65729:KIB65737 KRX65729:KRX65737 LBT65729:LBT65737 LLP65729:LLP65737 LVL65729:LVL65737 MFH65729:MFH65737 MPD65729:MPD65737 MYZ65729:MYZ65737 NIV65729:NIV65737 NSR65729:NSR65737 OCN65729:OCN65737 OMJ65729:OMJ65737 OWF65729:OWF65737 PGB65729:PGB65737 PPX65729:PPX65737 PZT65729:PZT65737 QJP65729:QJP65737 QTL65729:QTL65737 RDH65729:RDH65737 RND65729:RND65737 RWZ65729:RWZ65737 SGV65729:SGV65737 SQR65729:SQR65737 TAN65729:TAN65737 TKJ65729:TKJ65737 TUF65729:TUF65737 UEB65729:UEB65737 UNX65729:UNX65737 UXT65729:UXT65737 VHP65729:VHP65737 VRL65729:VRL65737 WBH65729:WBH65737 WLD65729:WLD65737 WUZ65729:WUZ65737 E131265:E131273 IN131265:IN131273 SJ131265:SJ131273 ACF131265:ACF131273 AMB131265:AMB131273 AVX131265:AVX131273 BFT131265:BFT131273 BPP131265:BPP131273 BZL131265:BZL131273 CJH131265:CJH131273 CTD131265:CTD131273 DCZ131265:DCZ131273 DMV131265:DMV131273 DWR131265:DWR131273 EGN131265:EGN131273 EQJ131265:EQJ131273 FAF131265:FAF131273 FKB131265:FKB131273 FTX131265:FTX131273 GDT131265:GDT131273 GNP131265:GNP131273 GXL131265:GXL131273 HHH131265:HHH131273 HRD131265:HRD131273 IAZ131265:IAZ131273 IKV131265:IKV131273 IUR131265:IUR131273 JEN131265:JEN131273 JOJ131265:JOJ131273 JYF131265:JYF131273 KIB131265:KIB131273 KRX131265:KRX131273 LBT131265:LBT131273 LLP131265:LLP131273 LVL131265:LVL131273 MFH131265:MFH131273 MPD131265:MPD131273 MYZ131265:MYZ131273 NIV131265:NIV131273 NSR131265:NSR131273 OCN131265:OCN131273 OMJ131265:OMJ131273 OWF131265:OWF131273 PGB131265:PGB131273 PPX131265:PPX131273 PZT131265:PZT131273 QJP131265:QJP131273 QTL131265:QTL131273 RDH131265:RDH131273 RND131265:RND131273 RWZ131265:RWZ131273 SGV131265:SGV131273 SQR131265:SQR131273 TAN131265:TAN131273 TKJ131265:TKJ131273 TUF131265:TUF131273 UEB131265:UEB131273 UNX131265:UNX131273 UXT131265:UXT131273 VHP131265:VHP131273 VRL131265:VRL131273 WBH131265:WBH131273 WLD131265:WLD131273 WUZ131265:WUZ131273 E196801:E196809 IN196801:IN196809 SJ196801:SJ196809 ACF196801:ACF196809 AMB196801:AMB196809 AVX196801:AVX196809 BFT196801:BFT196809 BPP196801:BPP196809 BZL196801:BZL196809 CJH196801:CJH196809 CTD196801:CTD196809 DCZ196801:DCZ196809 DMV196801:DMV196809 DWR196801:DWR196809 EGN196801:EGN196809 EQJ196801:EQJ196809 FAF196801:FAF196809 FKB196801:FKB196809 FTX196801:FTX196809 GDT196801:GDT196809 GNP196801:GNP196809 GXL196801:GXL196809 HHH196801:HHH196809 HRD196801:HRD196809 IAZ196801:IAZ196809 IKV196801:IKV196809 IUR196801:IUR196809 JEN196801:JEN196809 JOJ196801:JOJ196809 JYF196801:JYF196809 KIB196801:KIB196809 KRX196801:KRX196809 LBT196801:LBT196809 LLP196801:LLP196809 LVL196801:LVL196809 MFH196801:MFH196809 MPD196801:MPD196809 MYZ196801:MYZ196809 NIV196801:NIV196809 NSR196801:NSR196809 OCN196801:OCN196809 OMJ196801:OMJ196809 OWF196801:OWF196809 PGB196801:PGB196809 PPX196801:PPX196809 PZT196801:PZT196809 QJP196801:QJP196809 QTL196801:QTL196809 RDH196801:RDH196809 RND196801:RND196809 RWZ196801:RWZ196809 SGV196801:SGV196809 SQR196801:SQR196809 TAN196801:TAN196809 TKJ196801:TKJ196809 TUF196801:TUF196809 UEB196801:UEB196809 UNX196801:UNX196809 UXT196801:UXT196809 VHP196801:VHP196809 VRL196801:VRL196809 WBH196801:WBH196809 WLD196801:WLD196809 WUZ196801:WUZ196809 E262337:E262345 IN262337:IN262345 SJ262337:SJ262345 ACF262337:ACF262345 AMB262337:AMB262345 AVX262337:AVX262345 BFT262337:BFT262345 BPP262337:BPP262345 BZL262337:BZL262345 CJH262337:CJH262345 CTD262337:CTD262345 DCZ262337:DCZ262345 DMV262337:DMV262345 DWR262337:DWR262345 EGN262337:EGN262345 EQJ262337:EQJ262345 FAF262337:FAF262345 FKB262337:FKB262345 FTX262337:FTX262345 GDT262337:GDT262345 GNP262337:GNP262345 GXL262337:GXL262345 HHH262337:HHH262345 HRD262337:HRD262345 IAZ262337:IAZ262345 IKV262337:IKV262345 IUR262337:IUR262345 JEN262337:JEN262345 JOJ262337:JOJ262345 JYF262337:JYF262345 KIB262337:KIB262345 KRX262337:KRX262345 LBT262337:LBT262345 LLP262337:LLP262345 LVL262337:LVL262345 MFH262337:MFH262345 MPD262337:MPD262345 MYZ262337:MYZ262345 NIV262337:NIV262345 NSR262337:NSR262345 OCN262337:OCN262345 OMJ262337:OMJ262345 OWF262337:OWF262345 PGB262337:PGB262345 PPX262337:PPX262345 PZT262337:PZT262345 QJP262337:QJP262345 QTL262337:QTL262345 RDH262337:RDH262345 RND262337:RND262345 RWZ262337:RWZ262345 SGV262337:SGV262345 SQR262337:SQR262345 TAN262337:TAN262345 TKJ262337:TKJ262345 TUF262337:TUF262345 UEB262337:UEB262345 UNX262337:UNX262345 UXT262337:UXT262345 VHP262337:VHP262345 VRL262337:VRL262345 WBH262337:WBH262345 WLD262337:WLD262345 WUZ262337:WUZ262345 E327873:E327881 IN327873:IN327881 SJ327873:SJ327881 ACF327873:ACF327881 AMB327873:AMB327881 AVX327873:AVX327881 BFT327873:BFT327881 BPP327873:BPP327881 BZL327873:BZL327881 CJH327873:CJH327881 CTD327873:CTD327881 DCZ327873:DCZ327881 DMV327873:DMV327881 DWR327873:DWR327881 EGN327873:EGN327881 EQJ327873:EQJ327881 FAF327873:FAF327881 FKB327873:FKB327881 FTX327873:FTX327881 GDT327873:GDT327881 GNP327873:GNP327881 GXL327873:GXL327881 HHH327873:HHH327881 HRD327873:HRD327881 IAZ327873:IAZ327881 IKV327873:IKV327881 IUR327873:IUR327881 JEN327873:JEN327881 JOJ327873:JOJ327881 JYF327873:JYF327881 KIB327873:KIB327881 KRX327873:KRX327881 LBT327873:LBT327881 LLP327873:LLP327881 LVL327873:LVL327881 MFH327873:MFH327881 MPD327873:MPD327881 MYZ327873:MYZ327881 NIV327873:NIV327881 NSR327873:NSR327881 OCN327873:OCN327881 OMJ327873:OMJ327881 OWF327873:OWF327881 PGB327873:PGB327881 PPX327873:PPX327881 PZT327873:PZT327881 QJP327873:QJP327881 QTL327873:QTL327881 RDH327873:RDH327881 RND327873:RND327881 RWZ327873:RWZ327881 SGV327873:SGV327881 SQR327873:SQR327881 TAN327873:TAN327881 TKJ327873:TKJ327881 TUF327873:TUF327881 UEB327873:UEB327881 UNX327873:UNX327881 UXT327873:UXT327881 VHP327873:VHP327881 VRL327873:VRL327881 WBH327873:WBH327881 WLD327873:WLD327881 WUZ327873:WUZ327881 E393409:E393417 IN393409:IN393417 SJ393409:SJ393417 ACF393409:ACF393417 AMB393409:AMB393417 AVX393409:AVX393417 BFT393409:BFT393417 BPP393409:BPP393417 BZL393409:BZL393417 CJH393409:CJH393417 CTD393409:CTD393417 DCZ393409:DCZ393417 DMV393409:DMV393417 DWR393409:DWR393417 EGN393409:EGN393417 EQJ393409:EQJ393417 FAF393409:FAF393417 FKB393409:FKB393417 FTX393409:FTX393417 GDT393409:GDT393417 GNP393409:GNP393417 GXL393409:GXL393417 HHH393409:HHH393417 HRD393409:HRD393417 IAZ393409:IAZ393417 IKV393409:IKV393417 IUR393409:IUR393417 JEN393409:JEN393417 JOJ393409:JOJ393417 JYF393409:JYF393417 KIB393409:KIB393417 KRX393409:KRX393417 LBT393409:LBT393417 LLP393409:LLP393417 LVL393409:LVL393417 MFH393409:MFH393417 MPD393409:MPD393417 MYZ393409:MYZ393417 NIV393409:NIV393417 NSR393409:NSR393417 OCN393409:OCN393417 OMJ393409:OMJ393417 OWF393409:OWF393417 PGB393409:PGB393417 PPX393409:PPX393417 PZT393409:PZT393417 QJP393409:QJP393417 QTL393409:QTL393417 RDH393409:RDH393417 RND393409:RND393417 RWZ393409:RWZ393417 SGV393409:SGV393417 SQR393409:SQR393417 TAN393409:TAN393417 TKJ393409:TKJ393417 TUF393409:TUF393417 UEB393409:UEB393417 UNX393409:UNX393417 UXT393409:UXT393417 VHP393409:VHP393417 VRL393409:VRL393417 WBH393409:WBH393417 WLD393409:WLD393417 WUZ393409:WUZ393417 E458945:E458953 IN458945:IN458953 SJ458945:SJ458953 ACF458945:ACF458953 AMB458945:AMB458953 AVX458945:AVX458953 BFT458945:BFT458953 BPP458945:BPP458953 BZL458945:BZL458953 CJH458945:CJH458953 CTD458945:CTD458953 DCZ458945:DCZ458953 DMV458945:DMV458953 DWR458945:DWR458953 EGN458945:EGN458953 EQJ458945:EQJ458953 FAF458945:FAF458953 FKB458945:FKB458953 FTX458945:FTX458953 GDT458945:GDT458953 GNP458945:GNP458953 GXL458945:GXL458953 HHH458945:HHH458953 HRD458945:HRD458953 IAZ458945:IAZ458953 IKV458945:IKV458953 IUR458945:IUR458953 JEN458945:JEN458953 JOJ458945:JOJ458953 JYF458945:JYF458953 KIB458945:KIB458953 KRX458945:KRX458953 LBT458945:LBT458953 LLP458945:LLP458953 LVL458945:LVL458953 MFH458945:MFH458953 MPD458945:MPD458953 MYZ458945:MYZ458953 NIV458945:NIV458953 NSR458945:NSR458953 OCN458945:OCN458953 OMJ458945:OMJ458953 OWF458945:OWF458953 PGB458945:PGB458953 PPX458945:PPX458953 PZT458945:PZT458953 QJP458945:QJP458953 QTL458945:QTL458953 RDH458945:RDH458953 RND458945:RND458953 RWZ458945:RWZ458953 SGV458945:SGV458953 SQR458945:SQR458953 TAN458945:TAN458953 TKJ458945:TKJ458953 TUF458945:TUF458953 UEB458945:UEB458953 UNX458945:UNX458953 UXT458945:UXT458953 VHP458945:VHP458953 VRL458945:VRL458953 WBH458945:WBH458953 WLD458945:WLD458953 WUZ458945:WUZ458953 E524481:E524489 IN524481:IN524489 SJ524481:SJ524489 ACF524481:ACF524489 AMB524481:AMB524489 AVX524481:AVX524489 BFT524481:BFT524489 BPP524481:BPP524489 BZL524481:BZL524489 CJH524481:CJH524489 CTD524481:CTD524489 DCZ524481:DCZ524489 DMV524481:DMV524489 DWR524481:DWR524489 EGN524481:EGN524489 EQJ524481:EQJ524489 FAF524481:FAF524489 FKB524481:FKB524489 FTX524481:FTX524489 GDT524481:GDT524489 GNP524481:GNP524489 GXL524481:GXL524489 HHH524481:HHH524489 HRD524481:HRD524489 IAZ524481:IAZ524489 IKV524481:IKV524489 IUR524481:IUR524489 JEN524481:JEN524489 JOJ524481:JOJ524489 JYF524481:JYF524489 KIB524481:KIB524489 KRX524481:KRX524489 LBT524481:LBT524489 LLP524481:LLP524489 LVL524481:LVL524489 MFH524481:MFH524489 MPD524481:MPD524489 MYZ524481:MYZ524489 NIV524481:NIV524489 NSR524481:NSR524489 OCN524481:OCN524489 OMJ524481:OMJ524489 OWF524481:OWF524489 PGB524481:PGB524489 PPX524481:PPX524489 PZT524481:PZT524489 QJP524481:QJP524489 QTL524481:QTL524489 RDH524481:RDH524489 RND524481:RND524489 RWZ524481:RWZ524489 SGV524481:SGV524489 SQR524481:SQR524489 TAN524481:TAN524489 TKJ524481:TKJ524489 TUF524481:TUF524489 UEB524481:UEB524489 UNX524481:UNX524489 UXT524481:UXT524489 VHP524481:VHP524489 VRL524481:VRL524489 WBH524481:WBH524489 WLD524481:WLD524489 WUZ524481:WUZ524489 E590017:E590025 IN590017:IN590025 SJ590017:SJ590025 ACF590017:ACF590025 AMB590017:AMB590025 AVX590017:AVX590025 BFT590017:BFT590025 BPP590017:BPP590025 BZL590017:BZL590025 CJH590017:CJH590025 CTD590017:CTD590025 DCZ590017:DCZ590025 DMV590017:DMV590025 DWR590017:DWR590025 EGN590017:EGN590025 EQJ590017:EQJ590025 FAF590017:FAF590025 FKB590017:FKB590025 FTX590017:FTX590025 GDT590017:GDT590025 GNP590017:GNP590025 GXL590017:GXL590025 HHH590017:HHH590025 HRD590017:HRD590025 IAZ590017:IAZ590025 IKV590017:IKV590025 IUR590017:IUR590025 JEN590017:JEN590025 JOJ590017:JOJ590025 JYF590017:JYF590025 KIB590017:KIB590025 KRX590017:KRX590025 LBT590017:LBT590025 LLP590017:LLP590025 LVL590017:LVL590025 MFH590017:MFH590025 MPD590017:MPD590025 MYZ590017:MYZ590025 NIV590017:NIV590025 NSR590017:NSR590025 OCN590017:OCN590025 OMJ590017:OMJ590025 OWF590017:OWF590025 PGB590017:PGB590025 PPX590017:PPX590025 PZT590017:PZT590025 QJP590017:QJP590025 QTL590017:QTL590025 RDH590017:RDH590025 RND590017:RND590025 RWZ590017:RWZ590025 SGV590017:SGV590025 SQR590017:SQR590025 TAN590017:TAN590025 TKJ590017:TKJ590025 TUF590017:TUF590025 UEB590017:UEB590025 UNX590017:UNX590025 UXT590017:UXT590025 VHP590017:VHP590025 VRL590017:VRL590025 WBH590017:WBH590025 WLD590017:WLD590025 WUZ590017:WUZ590025 E655553:E655561 IN655553:IN655561 SJ655553:SJ655561 ACF655553:ACF655561 AMB655553:AMB655561 AVX655553:AVX655561 BFT655553:BFT655561 BPP655553:BPP655561 BZL655553:BZL655561 CJH655553:CJH655561 CTD655553:CTD655561 DCZ655553:DCZ655561 DMV655553:DMV655561 DWR655553:DWR655561 EGN655553:EGN655561 EQJ655553:EQJ655561 FAF655553:FAF655561 FKB655553:FKB655561 FTX655553:FTX655561 GDT655553:GDT655561 GNP655553:GNP655561 GXL655553:GXL655561 HHH655553:HHH655561 HRD655553:HRD655561 IAZ655553:IAZ655561 IKV655553:IKV655561 IUR655553:IUR655561 JEN655553:JEN655561 JOJ655553:JOJ655561 JYF655553:JYF655561 KIB655553:KIB655561 KRX655553:KRX655561 LBT655553:LBT655561 LLP655553:LLP655561 LVL655553:LVL655561 MFH655553:MFH655561 MPD655553:MPD655561 MYZ655553:MYZ655561 NIV655553:NIV655561 NSR655553:NSR655561 OCN655553:OCN655561 OMJ655553:OMJ655561 OWF655553:OWF655561 PGB655553:PGB655561 PPX655553:PPX655561 PZT655553:PZT655561 QJP655553:QJP655561 QTL655553:QTL655561 RDH655553:RDH655561 RND655553:RND655561 RWZ655553:RWZ655561 SGV655553:SGV655561 SQR655553:SQR655561 TAN655553:TAN655561 TKJ655553:TKJ655561 TUF655553:TUF655561 UEB655553:UEB655561 UNX655553:UNX655561 UXT655553:UXT655561 VHP655553:VHP655561 VRL655553:VRL655561 WBH655553:WBH655561 WLD655553:WLD655561 WUZ655553:WUZ655561 E721089:E721097 IN721089:IN721097 SJ721089:SJ721097 ACF721089:ACF721097 AMB721089:AMB721097 AVX721089:AVX721097 BFT721089:BFT721097 BPP721089:BPP721097 BZL721089:BZL721097 CJH721089:CJH721097 CTD721089:CTD721097 DCZ721089:DCZ721097 DMV721089:DMV721097 DWR721089:DWR721097 EGN721089:EGN721097 EQJ721089:EQJ721097 FAF721089:FAF721097 FKB721089:FKB721097 FTX721089:FTX721097 GDT721089:GDT721097 GNP721089:GNP721097 GXL721089:GXL721097 HHH721089:HHH721097 HRD721089:HRD721097 IAZ721089:IAZ721097 IKV721089:IKV721097 IUR721089:IUR721097 JEN721089:JEN721097 JOJ721089:JOJ721097 JYF721089:JYF721097 KIB721089:KIB721097 KRX721089:KRX721097 LBT721089:LBT721097 LLP721089:LLP721097 LVL721089:LVL721097 MFH721089:MFH721097 MPD721089:MPD721097 MYZ721089:MYZ721097 NIV721089:NIV721097 NSR721089:NSR721097 OCN721089:OCN721097 OMJ721089:OMJ721097 OWF721089:OWF721097 PGB721089:PGB721097 PPX721089:PPX721097 PZT721089:PZT721097 QJP721089:QJP721097 QTL721089:QTL721097 RDH721089:RDH721097 RND721089:RND721097 RWZ721089:RWZ721097 SGV721089:SGV721097 SQR721089:SQR721097 TAN721089:TAN721097 TKJ721089:TKJ721097 TUF721089:TUF721097 UEB721089:UEB721097 UNX721089:UNX721097 UXT721089:UXT721097 VHP721089:VHP721097 VRL721089:VRL721097 WBH721089:WBH721097 WLD721089:WLD721097 WUZ721089:WUZ721097 E786625:E786633 IN786625:IN786633 SJ786625:SJ786633 ACF786625:ACF786633 AMB786625:AMB786633 AVX786625:AVX786633 BFT786625:BFT786633 BPP786625:BPP786633 BZL786625:BZL786633 CJH786625:CJH786633 CTD786625:CTD786633 DCZ786625:DCZ786633 DMV786625:DMV786633 DWR786625:DWR786633 EGN786625:EGN786633 EQJ786625:EQJ786633 FAF786625:FAF786633 FKB786625:FKB786633 FTX786625:FTX786633 GDT786625:GDT786633 GNP786625:GNP786633 GXL786625:GXL786633 HHH786625:HHH786633 HRD786625:HRD786633 IAZ786625:IAZ786633 IKV786625:IKV786633 IUR786625:IUR786633 JEN786625:JEN786633 JOJ786625:JOJ786633 JYF786625:JYF786633 KIB786625:KIB786633 KRX786625:KRX786633 LBT786625:LBT786633 LLP786625:LLP786633 LVL786625:LVL786633 MFH786625:MFH786633 MPD786625:MPD786633 MYZ786625:MYZ786633 NIV786625:NIV786633 NSR786625:NSR786633 OCN786625:OCN786633 OMJ786625:OMJ786633 OWF786625:OWF786633 PGB786625:PGB786633 PPX786625:PPX786633 PZT786625:PZT786633 QJP786625:QJP786633 QTL786625:QTL786633 RDH786625:RDH786633 RND786625:RND786633 RWZ786625:RWZ786633 SGV786625:SGV786633 SQR786625:SQR786633 TAN786625:TAN786633 TKJ786625:TKJ786633 TUF786625:TUF786633 UEB786625:UEB786633 UNX786625:UNX786633 UXT786625:UXT786633 VHP786625:VHP786633 VRL786625:VRL786633 WBH786625:WBH786633 WLD786625:WLD786633 WUZ786625:WUZ786633 E852161:E852169 IN852161:IN852169 SJ852161:SJ852169 ACF852161:ACF852169 AMB852161:AMB852169 AVX852161:AVX852169 BFT852161:BFT852169 BPP852161:BPP852169 BZL852161:BZL852169 CJH852161:CJH852169 CTD852161:CTD852169 DCZ852161:DCZ852169 DMV852161:DMV852169 DWR852161:DWR852169 EGN852161:EGN852169 EQJ852161:EQJ852169 FAF852161:FAF852169 FKB852161:FKB852169 FTX852161:FTX852169 GDT852161:GDT852169 GNP852161:GNP852169 GXL852161:GXL852169 HHH852161:HHH852169 HRD852161:HRD852169 IAZ852161:IAZ852169 IKV852161:IKV852169 IUR852161:IUR852169 JEN852161:JEN852169 JOJ852161:JOJ852169 JYF852161:JYF852169 KIB852161:KIB852169 KRX852161:KRX852169 LBT852161:LBT852169 LLP852161:LLP852169 LVL852161:LVL852169 MFH852161:MFH852169 MPD852161:MPD852169 MYZ852161:MYZ852169 NIV852161:NIV852169 NSR852161:NSR852169 OCN852161:OCN852169 OMJ852161:OMJ852169 OWF852161:OWF852169 PGB852161:PGB852169 PPX852161:PPX852169 PZT852161:PZT852169 QJP852161:QJP852169 QTL852161:QTL852169 RDH852161:RDH852169 RND852161:RND852169 RWZ852161:RWZ852169 SGV852161:SGV852169 SQR852161:SQR852169 TAN852161:TAN852169 TKJ852161:TKJ852169 TUF852161:TUF852169 UEB852161:UEB852169 UNX852161:UNX852169 UXT852161:UXT852169 VHP852161:VHP852169 VRL852161:VRL852169 WBH852161:WBH852169 WLD852161:WLD852169 WUZ852161:WUZ852169 E917697:E917705 IN917697:IN917705 SJ917697:SJ917705 ACF917697:ACF917705 AMB917697:AMB917705 AVX917697:AVX917705 BFT917697:BFT917705 BPP917697:BPP917705 BZL917697:BZL917705 CJH917697:CJH917705 CTD917697:CTD917705 DCZ917697:DCZ917705 DMV917697:DMV917705 DWR917697:DWR917705 EGN917697:EGN917705 EQJ917697:EQJ917705 FAF917697:FAF917705 FKB917697:FKB917705 FTX917697:FTX917705 GDT917697:GDT917705 GNP917697:GNP917705 GXL917697:GXL917705 HHH917697:HHH917705 HRD917697:HRD917705 IAZ917697:IAZ917705 IKV917697:IKV917705 IUR917697:IUR917705 JEN917697:JEN917705 JOJ917697:JOJ917705 JYF917697:JYF917705 KIB917697:KIB917705 KRX917697:KRX917705 LBT917697:LBT917705 LLP917697:LLP917705 LVL917697:LVL917705 MFH917697:MFH917705 MPD917697:MPD917705 MYZ917697:MYZ917705 NIV917697:NIV917705 NSR917697:NSR917705 OCN917697:OCN917705 OMJ917697:OMJ917705 OWF917697:OWF917705 PGB917697:PGB917705 PPX917697:PPX917705 PZT917697:PZT917705 QJP917697:QJP917705 QTL917697:QTL917705 RDH917697:RDH917705 RND917697:RND917705 RWZ917697:RWZ917705 SGV917697:SGV917705 SQR917697:SQR917705 TAN917697:TAN917705 TKJ917697:TKJ917705 TUF917697:TUF917705 UEB917697:UEB917705 UNX917697:UNX917705 UXT917697:UXT917705 VHP917697:VHP917705 VRL917697:VRL917705 WBH917697:WBH917705 WLD917697:WLD917705 WUZ917697:WUZ917705 E983233:E983241 IN983233:IN983241 SJ983233:SJ983241 ACF983233:ACF983241 AMB983233:AMB983241 AVX983233:AVX983241 BFT983233:BFT983241 BPP983233:BPP983241 BZL983233:BZL983241 CJH983233:CJH983241 CTD983233:CTD983241 DCZ983233:DCZ983241 DMV983233:DMV983241 DWR983233:DWR983241 EGN983233:EGN983241 EQJ983233:EQJ983241 FAF983233:FAF983241 FKB983233:FKB983241 FTX983233:FTX983241 GDT983233:GDT983241 GNP983233:GNP983241 GXL983233:GXL983241 HHH983233:HHH983241 HRD983233:HRD983241 IAZ983233:IAZ983241 IKV983233:IKV983241 IUR983233:IUR983241 JEN983233:JEN983241 JOJ983233:JOJ983241 JYF983233:JYF983241 KIB983233:KIB983241 KRX983233:KRX983241 LBT983233:LBT983241 LLP983233:LLP983241 LVL983233:LVL983241 MFH983233:MFH983241 MPD983233:MPD983241 MYZ983233:MYZ983241 NIV983233:NIV983241 NSR983233:NSR983241 OCN983233:OCN983241 OMJ983233:OMJ983241 OWF983233:OWF983241 PGB983233:PGB983241 PPX983233:PPX983241 PZT983233:PZT983241 QJP983233:QJP983241 QTL983233:QTL983241 RDH983233:RDH983241 RND983233:RND983241 RWZ983233:RWZ983241 SGV983233:SGV983241 SQR983233:SQR983241 TAN983233:TAN983241 TKJ983233:TKJ983241 TUF983233:TUF983241 UEB983233:UEB983241 UNX983233:UNX983241 UXT983233:UXT983241 VHP983233:VHP983241 VRL983233:VRL983241 WBH983233:WBH983241 WLD983233:WLD983241 WUZ983233:WUZ983241 E25 IN25:IN26 SJ25:SJ26 ACF25:ACF26 AMB25:AMB26 AVX25:AVX26 BFT25:BFT26 BPP25:BPP26 BZL25:BZL26 CJH25:CJH26 CTD25:CTD26 DCZ25:DCZ26 DMV25:DMV26 DWR25:DWR26 EGN25:EGN26 EQJ25:EQJ26 FAF25:FAF26 FKB25:FKB26 FTX25:FTX26 GDT25:GDT26 GNP25:GNP26 GXL25:GXL26 HHH25:HHH26 HRD25:HRD26 IAZ25:IAZ26 IKV25:IKV26 IUR25:IUR26 JEN25:JEN26 JOJ25:JOJ26 JYF25:JYF26 KIB25:KIB26 KRX25:KRX26 LBT25:LBT26 LLP25:LLP26 LVL25:LVL26 MFH25:MFH26 MPD25:MPD26 MYZ25:MYZ26 NIV25:NIV26 NSR25:NSR26 OCN25:OCN26 OMJ25:OMJ26 OWF25:OWF26 PGB25:PGB26 PPX25:PPX26 PZT25:PZT26 QJP25:QJP26 QTL25:QTL26 RDH25:RDH26 RND25:RND26 RWZ25:RWZ26 SGV25:SGV26 SQR25:SQR26 TAN25:TAN26 TKJ25:TKJ26 TUF25:TUF26 UEB25:UEB26 UNX25:UNX26 UXT25:UXT26 VHP25:VHP26 VRL25:VRL26 WBH25:WBH26 WLD25:WLD26 WUZ25:WUZ26 E65724 IN65724 SJ65724 ACF65724 AMB65724 AVX65724 BFT65724 BPP65724 BZL65724 CJH65724 CTD65724 DCZ65724 DMV65724 DWR65724 EGN65724 EQJ65724 FAF65724 FKB65724 FTX65724 GDT65724 GNP65724 GXL65724 HHH65724 HRD65724 IAZ65724 IKV65724 IUR65724 JEN65724 JOJ65724 JYF65724 KIB65724 KRX65724 LBT65724 LLP65724 LVL65724 MFH65724 MPD65724 MYZ65724 NIV65724 NSR65724 OCN65724 OMJ65724 OWF65724 PGB65724 PPX65724 PZT65724 QJP65724 QTL65724 RDH65724 RND65724 RWZ65724 SGV65724 SQR65724 TAN65724 TKJ65724 TUF65724 UEB65724 UNX65724 UXT65724 VHP65724 VRL65724 WBH65724 WLD65724 WUZ65724 E131260 IN131260 SJ131260 ACF131260 AMB131260 AVX131260 BFT131260 BPP131260 BZL131260 CJH131260 CTD131260 DCZ131260 DMV131260 DWR131260 EGN131260 EQJ131260 FAF131260 FKB131260 FTX131260 GDT131260 GNP131260 GXL131260 HHH131260 HRD131260 IAZ131260 IKV131260 IUR131260 JEN131260 JOJ131260 JYF131260 KIB131260 KRX131260 LBT131260 LLP131260 LVL131260 MFH131260 MPD131260 MYZ131260 NIV131260 NSR131260 OCN131260 OMJ131260 OWF131260 PGB131260 PPX131260 PZT131260 QJP131260 QTL131260 RDH131260 RND131260 RWZ131260 SGV131260 SQR131260 TAN131260 TKJ131260 TUF131260 UEB131260 UNX131260 UXT131260 VHP131260 VRL131260 WBH131260 WLD131260 WUZ131260 E196796 IN196796 SJ196796 ACF196796 AMB196796 AVX196796 BFT196796 BPP196796 BZL196796 CJH196796 CTD196796 DCZ196796 DMV196796 DWR196796 EGN196796 EQJ196796 FAF196796 FKB196796 FTX196796 GDT196796 GNP196796 GXL196796 HHH196796 HRD196796 IAZ196796 IKV196796 IUR196796 JEN196796 JOJ196796 JYF196796 KIB196796 KRX196796 LBT196796 LLP196796 LVL196796 MFH196796 MPD196796 MYZ196796 NIV196796 NSR196796 OCN196796 OMJ196796 OWF196796 PGB196796 PPX196796 PZT196796 QJP196796 QTL196796 RDH196796 RND196796 RWZ196796 SGV196796 SQR196796 TAN196796 TKJ196796 TUF196796 UEB196796 UNX196796 UXT196796 VHP196796 VRL196796 WBH196796 WLD196796 WUZ196796 E262332 IN262332 SJ262332 ACF262332 AMB262332 AVX262332 BFT262332 BPP262332 BZL262332 CJH262332 CTD262332 DCZ262332 DMV262332 DWR262332 EGN262332 EQJ262332 FAF262332 FKB262332 FTX262332 GDT262332 GNP262332 GXL262332 HHH262332 HRD262332 IAZ262332 IKV262332 IUR262332 JEN262332 JOJ262332 JYF262332 KIB262332 KRX262332 LBT262332 LLP262332 LVL262332 MFH262332 MPD262332 MYZ262332 NIV262332 NSR262332 OCN262332 OMJ262332 OWF262332 PGB262332 PPX262332 PZT262332 QJP262332 QTL262332 RDH262332 RND262332 RWZ262332 SGV262332 SQR262332 TAN262332 TKJ262332 TUF262332 UEB262332 UNX262332 UXT262332 VHP262332 VRL262332 WBH262332 WLD262332 WUZ262332 E327868 IN327868 SJ327868 ACF327868 AMB327868 AVX327868 BFT327868 BPP327868 BZL327868 CJH327868 CTD327868 DCZ327868 DMV327868 DWR327868 EGN327868 EQJ327868 FAF327868 FKB327868 FTX327868 GDT327868 GNP327868 GXL327868 HHH327868 HRD327868 IAZ327868 IKV327868 IUR327868 JEN327868 JOJ327868 JYF327868 KIB327868 KRX327868 LBT327868 LLP327868 LVL327868 MFH327868 MPD327868 MYZ327868 NIV327868 NSR327868 OCN327868 OMJ327868 OWF327868 PGB327868 PPX327868 PZT327868 QJP327868 QTL327868 RDH327868 RND327868 RWZ327868 SGV327868 SQR327868 TAN327868 TKJ327868 TUF327868 UEB327868 UNX327868 UXT327868 VHP327868 VRL327868 WBH327868 WLD327868 WUZ327868 E393404 IN393404 SJ393404 ACF393404 AMB393404 AVX393404 BFT393404 BPP393404 BZL393404 CJH393404 CTD393404 DCZ393404 DMV393404 DWR393404 EGN393404 EQJ393404 FAF393404 FKB393404 FTX393404 GDT393404 GNP393404 GXL393404 HHH393404 HRD393404 IAZ393404 IKV393404 IUR393404 JEN393404 JOJ393404 JYF393404 KIB393404 KRX393404 LBT393404 LLP393404 LVL393404 MFH393404 MPD393404 MYZ393404 NIV393404 NSR393404 OCN393404 OMJ393404 OWF393404 PGB393404 PPX393404 PZT393404 QJP393404 QTL393404 RDH393404 RND393404 RWZ393404 SGV393404 SQR393404 TAN393404 TKJ393404 TUF393404 UEB393404 UNX393404 UXT393404 VHP393404 VRL393404 WBH393404 WLD393404 WUZ393404 E458940 IN458940 SJ458940 ACF458940 AMB458940 AVX458940 BFT458940 BPP458940 BZL458940 CJH458940 CTD458940 DCZ458940 DMV458940 DWR458940 EGN458940 EQJ458940 FAF458940 FKB458940 FTX458940 GDT458940 GNP458940 GXL458940 HHH458940 HRD458940 IAZ458940 IKV458940 IUR458940 JEN458940 JOJ458940 JYF458940 KIB458940 KRX458940 LBT458940 LLP458940 LVL458940 MFH458940 MPD458940 MYZ458940 NIV458940 NSR458940 OCN458940 OMJ458940 OWF458940 PGB458940 PPX458940 PZT458940 QJP458940 QTL458940 RDH458940 RND458940 RWZ458940 SGV458940 SQR458940 TAN458940 TKJ458940 TUF458940 UEB458940 UNX458940 UXT458940 VHP458940 VRL458940 WBH458940 WLD458940 WUZ458940 E524476 IN524476 SJ524476 ACF524476 AMB524476 AVX524476 BFT524476 BPP524476 BZL524476 CJH524476 CTD524476 DCZ524476 DMV524476 DWR524476 EGN524476 EQJ524476 FAF524476 FKB524476 FTX524476 GDT524476 GNP524476 GXL524476 HHH524476 HRD524476 IAZ524476 IKV524476 IUR524476 JEN524476 JOJ524476 JYF524476 KIB524476 KRX524476 LBT524476 LLP524476 LVL524476 MFH524476 MPD524476 MYZ524476 NIV524476 NSR524476 OCN524476 OMJ524476 OWF524476 PGB524476 PPX524476 PZT524476 QJP524476 QTL524476 RDH524476 RND524476 RWZ524476 SGV524476 SQR524476 TAN524476 TKJ524476 TUF524476 UEB524476 UNX524476 UXT524476 VHP524476 VRL524476 WBH524476 WLD524476 WUZ524476 E590012 IN590012 SJ590012 ACF590012 AMB590012 AVX590012 BFT590012 BPP590012 BZL590012 CJH590012 CTD590012 DCZ590012 DMV590012 DWR590012 EGN590012 EQJ590012 FAF590012 FKB590012 FTX590012 GDT590012 GNP590012 GXL590012 HHH590012 HRD590012 IAZ590012 IKV590012 IUR590012 JEN590012 JOJ590012 JYF590012 KIB590012 KRX590012 LBT590012 LLP590012 LVL590012 MFH590012 MPD590012 MYZ590012 NIV590012 NSR590012 OCN590012 OMJ590012 OWF590012 PGB590012 PPX590012 PZT590012 QJP590012 QTL590012 RDH590012 RND590012 RWZ590012 SGV590012 SQR590012 TAN590012 TKJ590012 TUF590012 UEB590012 UNX590012 UXT590012 VHP590012 VRL590012 WBH590012 WLD590012 WUZ590012 E655548 IN655548 SJ655548 ACF655548 AMB655548 AVX655548 BFT655548 BPP655548 BZL655548 CJH655548 CTD655548 DCZ655548 DMV655548 DWR655548 EGN655548 EQJ655548 FAF655548 FKB655548 FTX655548 GDT655548 GNP655548 GXL655548 HHH655548 HRD655548 IAZ655548 IKV655548 IUR655548 JEN655548 JOJ655548 JYF655548 KIB655548 KRX655548 LBT655548 LLP655548 LVL655548 MFH655548 MPD655548 MYZ655548 NIV655548 NSR655548 OCN655548 OMJ655548 OWF655548 PGB655548 PPX655548 PZT655548 QJP655548 QTL655548 RDH655548 RND655548 RWZ655548 SGV655548 SQR655548 TAN655548 TKJ655548 TUF655548 UEB655548 UNX655548 UXT655548 VHP655548 VRL655548 WBH655548 WLD655548 WUZ655548 E721084 IN721084 SJ721084 ACF721084 AMB721084 AVX721084 BFT721084 BPP721084 BZL721084 CJH721084 CTD721084 DCZ721084 DMV721084 DWR721084 EGN721084 EQJ721084 FAF721084 FKB721084 FTX721084 GDT721084 GNP721084 GXL721084 HHH721084 HRD721084 IAZ721084 IKV721084 IUR721084 JEN721084 JOJ721084 JYF721084 KIB721084 KRX721084 LBT721084 LLP721084 LVL721084 MFH721084 MPD721084 MYZ721084 NIV721084 NSR721084 OCN721084 OMJ721084 OWF721084 PGB721084 PPX721084 PZT721084 QJP721084 QTL721084 RDH721084 RND721084 RWZ721084 SGV721084 SQR721084 TAN721084 TKJ721084 TUF721084 UEB721084 UNX721084 UXT721084 VHP721084 VRL721084 WBH721084 WLD721084 WUZ721084 E786620 IN786620 SJ786620 ACF786620 AMB786620 AVX786620 BFT786620 BPP786620 BZL786620 CJH786620 CTD786620 DCZ786620 DMV786620 DWR786620 EGN786620 EQJ786620 FAF786620 FKB786620 FTX786620 GDT786620 GNP786620 GXL786620 HHH786620 HRD786620 IAZ786620 IKV786620 IUR786620 JEN786620 JOJ786620 JYF786620 KIB786620 KRX786620 LBT786620 LLP786620 LVL786620 MFH786620 MPD786620 MYZ786620 NIV786620 NSR786620 OCN786620 OMJ786620 OWF786620 PGB786620 PPX786620 PZT786620 QJP786620 QTL786620 RDH786620 RND786620 RWZ786620 SGV786620 SQR786620 TAN786620 TKJ786620 TUF786620 UEB786620 UNX786620 UXT786620 VHP786620 VRL786620 WBH786620 WLD786620 WUZ786620 E852156 IN852156 SJ852156 ACF852156 AMB852156 AVX852156 BFT852156 BPP852156 BZL852156 CJH852156 CTD852156 DCZ852156 DMV852156 DWR852156 EGN852156 EQJ852156 FAF852156 FKB852156 FTX852156 GDT852156 GNP852156 GXL852156 HHH852156 HRD852156 IAZ852156 IKV852156 IUR852156 JEN852156 JOJ852156 JYF852156 KIB852156 KRX852156 LBT852156 LLP852156 LVL852156 MFH852156 MPD852156 MYZ852156 NIV852156 NSR852156 OCN852156 OMJ852156 OWF852156 PGB852156 PPX852156 PZT852156 QJP852156 QTL852156 RDH852156 RND852156 RWZ852156 SGV852156 SQR852156 TAN852156 TKJ852156 TUF852156 UEB852156 UNX852156 UXT852156 VHP852156 VRL852156 WBH852156 WLD852156 WUZ852156 E917692 IN917692 SJ917692 ACF917692 AMB917692 AVX917692 BFT917692 BPP917692 BZL917692 CJH917692 CTD917692 DCZ917692 DMV917692 DWR917692 EGN917692 EQJ917692 FAF917692 FKB917692 FTX917692 GDT917692 GNP917692 GXL917692 HHH917692 HRD917692 IAZ917692 IKV917692 IUR917692 JEN917692 JOJ917692 JYF917692 KIB917692 KRX917692 LBT917692 LLP917692 LVL917692 MFH917692 MPD917692 MYZ917692 NIV917692 NSR917692 OCN917692 OMJ917692 OWF917692 PGB917692 PPX917692 PZT917692 QJP917692 QTL917692 RDH917692 RND917692 RWZ917692 SGV917692 SQR917692 TAN917692 TKJ917692 TUF917692 UEB917692 UNX917692 UXT917692 VHP917692 VRL917692 WBH917692 WLD917692 WUZ917692 E983228 IN983228 SJ983228 ACF983228 AMB983228 AVX983228 BFT983228 BPP983228 BZL983228 CJH983228 CTD983228 DCZ983228 DMV983228 DWR983228 EGN983228 EQJ983228 FAF983228 FKB983228 FTX983228 GDT983228 GNP983228 GXL983228 HHH983228 HRD983228 IAZ983228 IKV983228 IUR983228 JEN983228 JOJ983228 JYF983228 KIB983228 KRX983228 LBT983228 LLP983228 LVL983228 MFH983228 MPD983228 MYZ983228 NIV983228 NSR983228 OCN983228 OMJ983228 OWF983228 PGB983228 PPX983228 PZT983228 QJP983228 QTL983228 RDH983228 RND983228 RWZ983228 SGV983228 SQR983228 TAN983228 TKJ983228 TUF983228 UEB983228 UNX983228 UXT983228 VHP983228 VRL983228 WBH983228 WLD983228 E33:E36 E59" xr:uid="{00000000-0002-0000-0000-000010000000}">
      <formula1>"mm,mil"</formula1>
    </dataValidation>
    <dataValidation type="list" showInputMessage="1" showErrorMessage="1" sqref="WUZ983242 IN46:IN48 SJ46:SJ48 ACF46:ACF48 AMB46:AMB48 AVX46:AVX48 BFT46:BFT48 BPP46:BPP48 BZL46:BZL48 CJH46:CJH48 CTD46:CTD48 DCZ46:DCZ48 DMV46:DMV48 DWR46:DWR48 EGN46:EGN48 EQJ46:EQJ48 FAF46:FAF48 FKB46:FKB48 FTX46:FTX48 GDT46:GDT48 GNP46:GNP48 GXL46:GXL48 HHH46:HHH48 HRD46:HRD48 IAZ46:IAZ48 IKV46:IKV48 IUR46:IUR48 JEN46:JEN48 JOJ46:JOJ48 JYF46:JYF48 KIB46:KIB48 KRX46:KRX48 LBT46:LBT48 LLP46:LLP48 LVL46:LVL48 MFH46:MFH48 MPD46:MPD48 MYZ46:MYZ48 NIV46:NIV48 NSR46:NSR48 OCN46:OCN48 OMJ46:OMJ48 OWF46:OWF48 PGB46:PGB48 PPX46:PPX48 PZT46:PZT48 QJP46:QJP48 QTL46:QTL48 RDH46:RDH48 RND46:RND48 RWZ46:RWZ48 SGV46:SGV48 SQR46:SQR48 TAN46:TAN48 TKJ46:TKJ48 TUF46:TUF48 UEB46:UEB48 UNX46:UNX48 UXT46:UXT48 VHP46:VHP48 VRL46:VRL48 WBH46:WBH48 WLD46:WLD48 WUZ46:WUZ48 E65738 IN65738 SJ65738 ACF65738 AMB65738 AVX65738 BFT65738 BPP65738 BZL65738 CJH65738 CTD65738 DCZ65738 DMV65738 DWR65738 EGN65738 EQJ65738 FAF65738 FKB65738 FTX65738 GDT65738 GNP65738 GXL65738 HHH65738 HRD65738 IAZ65738 IKV65738 IUR65738 JEN65738 JOJ65738 JYF65738 KIB65738 KRX65738 LBT65738 LLP65738 LVL65738 MFH65738 MPD65738 MYZ65738 NIV65738 NSR65738 OCN65738 OMJ65738 OWF65738 PGB65738 PPX65738 PZT65738 QJP65738 QTL65738 RDH65738 RND65738 RWZ65738 SGV65738 SQR65738 TAN65738 TKJ65738 TUF65738 UEB65738 UNX65738 UXT65738 VHP65738 VRL65738 WBH65738 WLD65738 WUZ65738 E131274 IN131274 SJ131274 ACF131274 AMB131274 AVX131274 BFT131274 BPP131274 BZL131274 CJH131274 CTD131274 DCZ131274 DMV131274 DWR131274 EGN131274 EQJ131274 FAF131274 FKB131274 FTX131274 GDT131274 GNP131274 GXL131274 HHH131274 HRD131274 IAZ131274 IKV131274 IUR131274 JEN131274 JOJ131274 JYF131274 KIB131274 KRX131274 LBT131274 LLP131274 LVL131274 MFH131274 MPD131274 MYZ131274 NIV131274 NSR131274 OCN131274 OMJ131274 OWF131274 PGB131274 PPX131274 PZT131274 QJP131274 QTL131274 RDH131274 RND131274 RWZ131274 SGV131274 SQR131274 TAN131274 TKJ131274 TUF131274 UEB131274 UNX131274 UXT131274 VHP131274 VRL131274 WBH131274 WLD131274 WUZ131274 E196810 IN196810 SJ196810 ACF196810 AMB196810 AVX196810 BFT196810 BPP196810 BZL196810 CJH196810 CTD196810 DCZ196810 DMV196810 DWR196810 EGN196810 EQJ196810 FAF196810 FKB196810 FTX196810 GDT196810 GNP196810 GXL196810 HHH196810 HRD196810 IAZ196810 IKV196810 IUR196810 JEN196810 JOJ196810 JYF196810 KIB196810 KRX196810 LBT196810 LLP196810 LVL196810 MFH196810 MPD196810 MYZ196810 NIV196810 NSR196810 OCN196810 OMJ196810 OWF196810 PGB196810 PPX196810 PZT196810 QJP196810 QTL196810 RDH196810 RND196810 RWZ196810 SGV196810 SQR196810 TAN196810 TKJ196810 TUF196810 UEB196810 UNX196810 UXT196810 VHP196810 VRL196810 WBH196810 WLD196810 WUZ196810 E262346 IN262346 SJ262346 ACF262346 AMB262346 AVX262346 BFT262346 BPP262346 BZL262346 CJH262346 CTD262346 DCZ262346 DMV262346 DWR262346 EGN262346 EQJ262346 FAF262346 FKB262346 FTX262346 GDT262346 GNP262346 GXL262346 HHH262346 HRD262346 IAZ262346 IKV262346 IUR262346 JEN262346 JOJ262346 JYF262346 KIB262346 KRX262346 LBT262346 LLP262346 LVL262346 MFH262346 MPD262346 MYZ262346 NIV262346 NSR262346 OCN262346 OMJ262346 OWF262346 PGB262346 PPX262346 PZT262346 QJP262346 QTL262346 RDH262346 RND262346 RWZ262346 SGV262346 SQR262346 TAN262346 TKJ262346 TUF262346 UEB262346 UNX262346 UXT262346 VHP262346 VRL262346 WBH262346 WLD262346 WUZ262346 E327882 IN327882 SJ327882 ACF327882 AMB327882 AVX327882 BFT327882 BPP327882 BZL327882 CJH327882 CTD327882 DCZ327882 DMV327882 DWR327882 EGN327882 EQJ327882 FAF327882 FKB327882 FTX327882 GDT327882 GNP327882 GXL327882 HHH327882 HRD327882 IAZ327882 IKV327882 IUR327882 JEN327882 JOJ327882 JYF327882 KIB327882 KRX327882 LBT327882 LLP327882 LVL327882 MFH327882 MPD327882 MYZ327882 NIV327882 NSR327882 OCN327882 OMJ327882 OWF327882 PGB327882 PPX327882 PZT327882 QJP327882 QTL327882 RDH327882 RND327882 RWZ327882 SGV327882 SQR327882 TAN327882 TKJ327882 TUF327882 UEB327882 UNX327882 UXT327882 VHP327882 VRL327882 WBH327882 WLD327882 WUZ327882 E393418 IN393418 SJ393418 ACF393418 AMB393418 AVX393418 BFT393418 BPP393418 BZL393418 CJH393418 CTD393418 DCZ393418 DMV393418 DWR393418 EGN393418 EQJ393418 FAF393418 FKB393418 FTX393418 GDT393418 GNP393418 GXL393418 HHH393418 HRD393418 IAZ393418 IKV393418 IUR393418 JEN393418 JOJ393418 JYF393418 KIB393418 KRX393418 LBT393418 LLP393418 LVL393418 MFH393418 MPD393418 MYZ393418 NIV393418 NSR393418 OCN393418 OMJ393418 OWF393418 PGB393418 PPX393418 PZT393418 QJP393418 QTL393418 RDH393418 RND393418 RWZ393418 SGV393418 SQR393418 TAN393418 TKJ393418 TUF393418 UEB393418 UNX393418 UXT393418 VHP393418 VRL393418 WBH393418 WLD393418 WUZ393418 E458954 IN458954 SJ458954 ACF458954 AMB458954 AVX458954 BFT458954 BPP458954 BZL458954 CJH458954 CTD458954 DCZ458954 DMV458954 DWR458954 EGN458954 EQJ458954 FAF458954 FKB458954 FTX458954 GDT458954 GNP458954 GXL458954 HHH458954 HRD458954 IAZ458954 IKV458954 IUR458954 JEN458954 JOJ458954 JYF458954 KIB458954 KRX458954 LBT458954 LLP458954 LVL458954 MFH458954 MPD458954 MYZ458954 NIV458954 NSR458954 OCN458954 OMJ458954 OWF458954 PGB458954 PPX458954 PZT458954 QJP458954 QTL458954 RDH458954 RND458954 RWZ458954 SGV458954 SQR458954 TAN458954 TKJ458954 TUF458954 UEB458954 UNX458954 UXT458954 VHP458954 VRL458954 WBH458954 WLD458954 WUZ458954 E524490 IN524490 SJ524490 ACF524490 AMB524490 AVX524490 BFT524490 BPP524490 BZL524490 CJH524490 CTD524490 DCZ524490 DMV524490 DWR524490 EGN524490 EQJ524490 FAF524490 FKB524490 FTX524490 GDT524490 GNP524490 GXL524490 HHH524490 HRD524490 IAZ524490 IKV524490 IUR524490 JEN524490 JOJ524490 JYF524490 KIB524490 KRX524490 LBT524490 LLP524490 LVL524490 MFH524490 MPD524490 MYZ524490 NIV524490 NSR524490 OCN524490 OMJ524490 OWF524490 PGB524490 PPX524490 PZT524490 QJP524490 QTL524490 RDH524490 RND524490 RWZ524490 SGV524490 SQR524490 TAN524490 TKJ524490 TUF524490 UEB524490 UNX524490 UXT524490 VHP524490 VRL524490 WBH524490 WLD524490 WUZ524490 E590026 IN590026 SJ590026 ACF590026 AMB590026 AVX590026 BFT590026 BPP590026 BZL590026 CJH590026 CTD590026 DCZ590026 DMV590026 DWR590026 EGN590026 EQJ590026 FAF590026 FKB590026 FTX590026 GDT590026 GNP590026 GXL590026 HHH590026 HRD590026 IAZ590026 IKV590026 IUR590026 JEN590026 JOJ590026 JYF590026 KIB590026 KRX590026 LBT590026 LLP590026 LVL590026 MFH590026 MPD590026 MYZ590026 NIV590026 NSR590026 OCN590026 OMJ590026 OWF590026 PGB590026 PPX590026 PZT590026 QJP590026 QTL590026 RDH590026 RND590026 RWZ590026 SGV590026 SQR590026 TAN590026 TKJ590026 TUF590026 UEB590026 UNX590026 UXT590026 VHP590026 VRL590026 WBH590026 WLD590026 WUZ590026 E655562 IN655562 SJ655562 ACF655562 AMB655562 AVX655562 BFT655562 BPP655562 BZL655562 CJH655562 CTD655562 DCZ655562 DMV655562 DWR655562 EGN655562 EQJ655562 FAF655562 FKB655562 FTX655562 GDT655562 GNP655562 GXL655562 HHH655562 HRD655562 IAZ655562 IKV655562 IUR655562 JEN655562 JOJ655562 JYF655562 KIB655562 KRX655562 LBT655562 LLP655562 LVL655562 MFH655562 MPD655562 MYZ655562 NIV655562 NSR655562 OCN655562 OMJ655562 OWF655562 PGB655562 PPX655562 PZT655562 QJP655562 QTL655562 RDH655562 RND655562 RWZ655562 SGV655562 SQR655562 TAN655562 TKJ655562 TUF655562 UEB655562 UNX655562 UXT655562 VHP655562 VRL655562 WBH655562 WLD655562 WUZ655562 E721098 IN721098 SJ721098 ACF721098 AMB721098 AVX721098 BFT721098 BPP721098 BZL721098 CJH721098 CTD721098 DCZ721098 DMV721098 DWR721098 EGN721098 EQJ721098 FAF721098 FKB721098 FTX721098 GDT721098 GNP721098 GXL721098 HHH721098 HRD721098 IAZ721098 IKV721098 IUR721098 JEN721098 JOJ721098 JYF721098 KIB721098 KRX721098 LBT721098 LLP721098 LVL721098 MFH721098 MPD721098 MYZ721098 NIV721098 NSR721098 OCN721098 OMJ721098 OWF721098 PGB721098 PPX721098 PZT721098 QJP721098 QTL721098 RDH721098 RND721098 RWZ721098 SGV721098 SQR721098 TAN721098 TKJ721098 TUF721098 UEB721098 UNX721098 UXT721098 VHP721098 VRL721098 WBH721098 WLD721098 WUZ721098 E786634 IN786634 SJ786634 ACF786634 AMB786634 AVX786634 BFT786634 BPP786634 BZL786634 CJH786634 CTD786634 DCZ786634 DMV786634 DWR786634 EGN786634 EQJ786634 FAF786634 FKB786634 FTX786634 GDT786634 GNP786634 GXL786634 HHH786634 HRD786634 IAZ786634 IKV786634 IUR786634 JEN786634 JOJ786634 JYF786634 KIB786634 KRX786634 LBT786634 LLP786634 LVL786634 MFH786634 MPD786634 MYZ786634 NIV786634 NSR786634 OCN786634 OMJ786634 OWF786634 PGB786634 PPX786634 PZT786634 QJP786634 QTL786634 RDH786634 RND786634 RWZ786634 SGV786634 SQR786634 TAN786634 TKJ786634 TUF786634 UEB786634 UNX786634 UXT786634 VHP786634 VRL786634 WBH786634 WLD786634 WUZ786634 E852170 IN852170 SJ852170 ACF852170 AMB852170 AVX852170 BFT852170 BPP852170 BZL852170 CJH852170 CTD852170 DCZ852170 DMV852170 DWR852170 EGN852170 EQJ852170 FAF852170 FKB852170 FTX852170 GDT852170 GNP852170 GXL852170 HHH852170 HRD852170 IAZ852170 IKV852170 IUR852170 JEN852170 JOJ852170 JYF852170 KIB852170 KRX852170 LBT852170 LLP852170 LVL852170 MFH852170 MPD852170 MYZ852170 NIV852170 NSR852170 OCN852170 OMJ852170 OWF852170 PGB852170 PPX852170 PZT852170 QJP852170 QTL852170 RDH852170 RND852170 RWZ852170 SGV852170 SQR852170 TAN852170 TKJ852170 TUF852170 UEB852170 UNX852170 UXT852170 VHP852170 VRL852170 WBH852170 WLD852170 WUZ852170 E917706 IN917706 SJ917706 ACF917706 AMB917706 AVX917706 BFT917706 BPP917706 BZL917706 CJH917706 CTD917706 DCZ917706 DMV917706 DWR917706 EGN917706 EQJ917706 FAF917706 FKB917706 FTX917706 GDT917706 GNP917706 GXL917706 HHH917706 HRD917706 IAZ917706 IKV917706 IUR917706 JEN917706 JOJ917706 JYF917706 KIB917706 KRX917706 LBT917706 LLP917706 LVL917706 MFH917706 MPD917706 MYZ917706 NIV917706 NSR917706 OCN917706 OMJ917706 OWF917706 PGB917706 PPX917706 PZT917706 QJP917706 QTL917706 RDH917706 RND917706 RWZ917706 SGV917706 SQR917706 TAN917706 TKJ917706 TUF917706 UEB917706 UNX917706 UXT917706 VHP917706 VRL917706 WBH917706 WLD917706 WUZ917706 E983242 IN983242 SJ983242 ACF983242 AMB983242 AVX983242 BFT983242 BPP983242 BZL983242 CJH983242 CTD983242 DCZ983242 DMV983242 DWR983242 EGN983242 EQJ983242 FAF983242 FKB983242 FTX983242 GDT983242 GNP983242 GXL983242 HHH983242 HRD983242 IAZ983242 IKV983242 IUR983242 JEN983242 JOJ983242 JYF983242 KIB983242 KRX983242 LBT983242 LLP983242 LVL983242 MFH983242 MPD983242 MYZ983242 NIV983242 NSR983242 OCN983242 OMJ983242 OWF983242 PGB983242 PPX983242 PZT983242 QJP983242 QTL983242 RDH983242 RND983242 RWZ983242 SGV983242 SQR983242 TAN983242 TKJ983242 TUF983242 UEB983242 UNX983242 UXT983242 VHP983242 VRL983242 WBH983242 WLD983242 E46" xr:uid="{00000000-0002-0000-0000-000011000000}">
      <formula1>"mm,mil,oz-Cu"</formula1>
    </dataValidation>
    <dataValidation type="list" allowBlank="1" showInputMessage="1" showErrorMessage="1" errorTitle="Too Many layers" error="This tool can only calculate up to 8 Layers." sqref="D23 IM23 SI23 ACE23 AMA23 AVW23 BFS23 BPO23 BZK23 CJG23 CTC23 DCY23 DMU23 DWQ23 EGM23 EQI23 FAE23 FKA23 FTW23 GDS23 GNO23 GXK23 HHG23 HRC23 IAY23 IKU23 IUQ23 JEM23 JOI23 JYE23 KIA23 KRW23 LBS23 LLO23 LVK23 MFG23 MPC23 MYY23 NIU23 NSQ23 OCM23 OMI23 OWE23 PGA23 PPW23 PZS23 QJO23 QTK23 RDG23 RNC23 RWY23 SGU23 SQQ23 TAM23 TKI23 TUE23 UEA23 UNW23 UXS23 VHO23 VRK23 WBG23 WLC23 WUY23 D65722 IM65722 SI65722 ACE65722 AMA65722 AVW65722 BFS65722 BPO65722 BZK65722 CJG65722 CTC65722 DCY65722 DMU65722 DWQ65722 EGM65722 EQI65722 FAE65722 FKA65722 FTW65722 GDS65722 GNO65722 GXK65722 HHG65722 HRC65722 IAY65722 IKU65722 IUQ65722 JEM65722 JOI65722 JYE65722 KIA65722 KRW65722 LBS65722 LLO65722 LVK65722 MFG65722 MPC65722 MYY65722 NIU65722 NSQ65722 OCM65722 OMI65722 OWE65722 PGA65722 PPW65722 PZS65722 QJO65722 QTK65722 RDG65722 RNC65722 RWY65722 SGU65722 SQQ65722 TAM65722 TKI65722 TUE65722 UEA65722 UNW65722 UXS65722 VHO65722 VRK65722 WBG65722 WLC65722 WUY65722 D131258 IM131258 SI131258 ACE131258 AMA131258 AVW131258 BFS131258 BPO131258 BZK131258 CJG131258 CTC131258 DCY131258 DMU131258 DWQ131258 EGM131258 EQI131258 FAE131258 FKA131258 FTW131258 GDS131258 GNO131258 GXK131258 HHG131258 HRC131258 IAY131258 IKU131258 IUQ131258 JEM131258 JOI131258 JYE131258 KIA131258 KRW131258 LBS131258 LLO131258 LVK131258 MFG131258 MPC131258 MYY131258 NIU131258 NSQ131258 OCM131258 OMI131258 OWE131258 PGA131258 PPW131258 PZS131258 QJO131258 QTK131258 RDG131258 RNC131258 RWY131258 SGU131258 SQQ131258 TAM131258 TKI131258 TUE131258 UEA131258 UNW131258 UXS131258 VHO131258 VRK131258 WBG131258 WLC131258 WUY131258 D196794 IM196794 SI196794 ACE196794 AMA196794 AVW196794 BFS196794 BPO196794 BZK196794 CJG196794 CTC196794 DCY196794 DMU196794 DWQ196794 EGM196794 EQI196794 FAE196794 FKA196794 FTW196794 GDS196794 GNO196794 GXK196794 HHG196794 HRC196794 IAY196794 IKU196794 IUQ196794 JEM196794 JOI196794 JYE196794 KIA196794 KRW196794 LBS196794 LLO196794 LVK196794 MFG196794 MPC196794 MYY196794 NIU196794 NSQ196794 OCM196794 OMI196794 OWE196794 PGA196794 PPW196794 PZS196794 QJO196794 QTK196794 RDG196794 RNC196794 RWY196794 SGU196794 SQQ196794 TAM196794 TKI196794 TUE196794 UEA196794 UNW196794 UXS196794 VHO196794 VRK196794 WBG196794 WLC196794 WUY196794 D262330 IM262330 SI262330 ACE262330 AMA262330 AVW262330 BFS262330 BPO262330 BZK262330 CJG262330 CTC262330 DCY262330 DMU262330 DWQ262330 EGM262330 EQI262330 FAE262330 FKA262330 FTW262330 GDS262330 GNO262330 GXK262330 HHG262330 HRC262330 IAY262330 IKU262330 IUQ262330 JEM262330 JOI262330 JYE262330 KIA262330 KRW262330 LBS262330 LLO262330 LVK262330 MFG262330 MPC262330 MYY262330 NIU262330 NSQ262330 OCM262330 OMI262330 OWE262330 PGA262330 PPW262330 PZS262330 QJO262330 QTK262330 RDG262330 RNC262330 RWY262330 SGU262330 SQQ262330 TAM262330 TKI262330 TUE262330 UEA262330 UNW262330 UXS262330 VHO262330 VRK262330 WBG262330 WLC262330 WUY262330 D327866 IM327866 SI327866 ACE327866 AMA327866 AVW327866 BFS327866 BPO327866 BZK327866 CJG327866 CTC327866 DCY327866 DMU327866 DWQ327866 EGM327866 EQI327866 FAE327866 FKA327866 FTW327866 GDS327866 GNO327866 GXK327866 HHG327866 HRC327866 IAY327866 IKU327866 IUQ327866 JEM327866 JOI327866 JYE327866 KIA327866 KRW327866 LBS327866 LLO327866 LVK327866 MFG327866 MPC327866 MYY327866 NIU327866 NSQ327866 OCM327866 OMI327866 OWE327866 PGA327866 PPW327866 PZS327866 QJO327866 QTK327866 RDG327866 RNC327866 RWY327866 SGU327866 SQQ327866 TAM327866 TKI327866 TUE327866 UEA327866 UNW327866 UXS327866 VHO327866 VRK327866 WBG327866 WLC327866 WUY327866 D393402 IM393402 SI393402 ACE393402 AMA393402 AVW393402 BFS393402 BPO393402 BZK393402 CJG393402 CTC393402 DCY393402 DMU393402 DWQ393402 EGM393402 EQI393402 FAE393402 FKA393402 FTW393402 GDS393402 GNO393402 GXK393402 HHG393402 HRC393402 IAY393402 IKU393402 IUQ393402 JEM393402 JOI393402 JYE393402 KIA393402 KRW393402 LBS393402 LLO393402 LVK393402 MFG393402 MPC393402 MYY393402 NIU393402 NSQ393402 OCM393402 OMI393402 OWE393402 PGA393402 PPW393402 PZS393402 QJO393402 QTK393402 RDG393402 RNC393402 RWY393402 SGU393402 SQQ393402 TAM393402 TKI393402 TUE393402 UEA393402 UNW393402 UXS393402 VHO393402 VRK393402 WBG393402 WLC393402 WUY393402 D458938 IM458938 SI458938 ACE458938 AMA458938 AVW458938 BFS458938 BPO458938 BZK458938 CJG458938 CTC458938 DCY458938 DMU458938 DWQ458938 EGM458938 EQI458938 FAE458938 FKA458938 FTW458938 GDS458938 GNO458938 GXK458938 HHG458938 HRC458938 IAY458938 IKU458938 IUQ458938 JEM458938 JOI458938 JYE458938 KIA458938 KRW458938 LBS458938 LLO458938 LVK458938 MFG458938 MPC458938 MYY458938 NIU458938 NSQ458938 OCM458938 OMI458938 OWE458938 PGA458938 PPW458938 PZS458938 QJO458938 QTK458938 RDG458938 RNC458938 RWY458938 SGU458938 SQQ458938 TAM458938 TKI458938 TUE458938 UEA458938 UNW458938 UXS458938 VHO458938 VRK458938 WBG458938 WLC458938 WUY458938 D524474 IM524474 SI524474 ACE524474 AMA524474 AVW524474 BFS524474 BPO524474 BZK524474 CJG524474 CTC524474 DCY524474 DMU524474 DWQ524474 EGM524474 EQI524474 FAE524474 FKA524474 FTW524474 GDS524474 GNO524474 GXK524474 HHG524474 HRC524474 IAY524474 IKU524474 IUQ524474 JEM524474 JOI524474 JYE524474 KIA524474 KRW524474 LBS524474 LLO524474 LVK524474 MFG524474 MPC524474 MYY524474 NIU524474 NSQ524474 OCM524474 OMI524474 OWE524474 PGA524474 PPW524474 PZS524474 QJO524474 QTK524474 RDG524474 RNC524474 RWY524474 SGU524474 SQQ524474 TAM524474 TKI524474 TUE524474 UEA524474 UNW524474 UXS524474 VHO524474 VRK524474 WBG524474 WLC524474 WUY524474 D590010 IM590010 SI590010 ACE590010 AMA590010 AVW590010 BFS590010 BPO590010 BZK590010 CJG590010 CTC590010 DCY590010 DMU590010 DWQ590010 EGM590010 EQI590010 FAE590010 FKA590010 FTW590010 GDS590010 GNO590010 GXK590010 HHG590010 HRC590010 IAY590010 IKU590010 IUQ590010 JEM590010 JOI590010 JYE590010 KIA590010 KRW590010 LBS590010 LLO590010 LVK590010 MFG590010 MPC590010 MYY590010 NIU590010 NSQ590010 OCM590010 OMI590010 OWE590010 PGA590010 PPW590010 PZS590010 QJO590010 QTK590010 RDG590010 RNC590010 RWY590010 SGU590010 SQQ590010 TAM590010 TKI590010 TUE590010 UEA590010 UNW590010 UXS590010 VHO590010 VRK590010 WBG590010 WLC590010 WUY590010 D655546 IM655546 SI655546 ACE655546 AMA655546 AVW655546 BFS655546 BPO655546 BZK655546 CJG655546 CTC655546 DCY655546 DMU655546 DWQ655546 EGM655546 EQI655546 FAE655546 FKA655546 FTW655546 GDS655546 GNO655546 GXK655546 HHG655546 HRC655546 IAY655546 IKU655546 IUQ655546 JEM655546 JOI655546 JYE655546 KIA655546 KRW655546 LBS655546 LLO655546 LVK655546 MFG655546 MPC655546 MYY655546 NIU655546 NSQ655546 OCM655546 OMI655546 OWE655546 PGA655546 PPW655546 PZS655546 QJO655546 QTK655546 RDG655546 RNC655546 RWY655546 SGU655546 SQQ655546 TAM655546 TKI655546 TUE655546 UEA655546 UNW655546 UXS655546 VHO655546 VRK655546 WBG655546 WLC655546 WUY655546 D721082 IM721082 SI721082 ACE721082 AMA721082 AVW721082 BFS721082 BPO721082 BZK721082 CJG721082 CTC721082 DCY721082 DMU721082 DWQ721082 EGM721082 EQI721082 FAE721082 FKA721082 FTW721082 GDS721082 GNO721082 GXK721082 HHG721082 HRC721082 IAY721082 IKU721082 IUQ721082 JEM721082 JOI721082 JYE721082 KIA721082 KRW721082 LBS721082 LLO721082 LVK721082 MFG721082 MPC721082 MYY721082 NIU721082 NSQ721082 OCM721082 OMI721082 OWE721082 PGA721082 PPW721082 PZS721082 QJO721082 QTK721082 RDG721082 RNC721082 RWY721082 SGU721082 SQQ721082 TAM721082 TKI721082 TUE721082 UEA721082 UNW721082 UXS721082 VHO721082 VRK721082 WBG721082 WLC721082 WUY721082 D786618 IM786618 SI786618 ACE786618 AMA786618 AVW786618 BFS786618 BPO786618 BZK786618 CJG786618 CTC786618 DCY786618 DMU786618 DWQ786618 EGM786618 EQI786618 FAE786618 FKA786618 FTW786618 GDS786618 GNO786618 GXK786618 HHG786618 HRC786618 IAY786618 IKU786618 IUQ786618 JEM786618 JOI786618 JYE786618 KIA786618 KRW786618 LBS786618 LLO786618 LVK786618 MFG786618 MPC786618 MYY786618 NIU786618 NSQ786618 OCM786618 OMI786618 OWE786618 PGA786618 PPW786618 PZS786618 QJO786618 QTK786618 RDG786618 RNC786618 RWY786618 SGU786618 SQQ786618 TAM786618 TKI786618 TUE786618 UEA786618 UNW786618 UXS786618 VHO786618 VRK786618 WBG786618 WLC786618 WUY786618 D852154 IM852154 SI852154 ACE852154 AMA852154 AVW852154 BFS852154 BPO852154 BZK852154 CJG852154 CTC852154 DCY852154 DMU852154 DWQ852154 EGM852154 EQI852154 FAE852154 FKA852154 FTW852154 GDS852154 GNO852154 GXK852154 HHG852154 HRC852154 IAY852154 IKU852154 IUQ852154 JEM852154 JOI852154 JYE852154 KIA852154 KRW852154 LBS852154 LLO852154 LVK852154 MFG852154 MPC852154 MYY852154 NIU852154 NSQ852154 OCM852154 OMI852154 OWE852154 PGA852154 PPW852154 PZS852154 QJO852154 QTK852154 RDG852154 RNC852154 RWY852154 SGU852154 SQQ852154 TAM852154 TKI852154 TUE852154 UEA852154 UNW852154 UXS852154 VHO852154 VRK852154 WBG852154 WLC852154 WUY852154 D917690 IM917690 SI917690 ACE917690 AMA917690 AVW917690 BFS917690 BPO917690 BZK917690 CJG917690 CTC917690 DCY917690 DMU917690 DWQ917690 EGM917690 EQI917690 FAE917690 FKA917690 FTW917690 GDS917690 GNO917690 GXK917690 HHG917690 HRC917690 IAY917690 IKU917690 IUQ917690 JEM917690 JOI917690 JYE917690 KIA917690 KRW917690 LBS917690 LLO917690 LVK917690 MFG917690 MPC917690 MYY917690 NIU917690 NSQ917690 OCM917690 OMI917690 OWE917690 PGA917690 PPW917690 PZS917690 QJO917690 QTK917690 RDG917690 RNC917690 RWY917690 SGU917690 SQQ917690 TAM917690 TKI917690 TUE917690 UEA917690 UNW917690 UXS917690 VHO917690 VRK917690 WBG917690 WLC917690 WUY917690 D983226 IM983226 SI983226 ACE983226 AMA983226 AVW983226 BFS983226 BPO983226 BZK983226 CJG983226 CTC983226 DCY983226 DMU983226 DWQ983226 EGM983226 EQI983226 FAE983226 FKA983226 FTW983226 GDS983226 GNO983226 GXK983226 HHG983226 HRC983226 IAY983226 IKU983226 IUQ983226 JEM983226 JOI983226 JYE983226 KIA983226 KRW983226 LBS983226 LLO983226 LVK983226 MFG983226 MPC983226 MYY983226 NIU983226 NSQ983226 OCM983226 OMI983226 OWE983226 PGA983226 PPW983226 PZS983226 QJO983226 QTK983226 RDG983226 RNC983226 RWY983226 SGU983226 SQQ983226 TAM983226 TKI983226 TUE983226 UEA983226 UNW983226 UXS983226 VHO983226 VRK983226 WBG983226 WLC983226 WUY983226" xr:uid="{00000000-0002-0000-0000-000012000000}">
      <formula1>"1,2,3,4,5,6,7,8"</formula1>
    </dataValidation>
    <dataValidation showInputMessage="1" showErrorMessage="1" sqref="E54:E55 IN54:IN55 SJ54:SJ55 ACF54:ACF55 AMB54:AMB55 AVX54:AVX55 BFT54:BFT55 BPP54:BPP55 BZL54:BZL55 CJH54:CJH55 CTD54:CTD55 DCZ54:DCZ55 DMV54:DMV55 DWR54:DWR55 EGN54:EGN55 EQJ54:EQJ55 FAF54:FAF55 FKB54:FKB55 FTX54:FTX55 GDT54:GDT55 GNP54:GNP55 GXL54:GXL55 HHH54:HHH55 HRD54:HRD55 IAZ54:IAZ55 IKV54:IKV55 IUR54:IUR55 JEN54:JEN55 JOJ54:JOJ55 JYF54:JYF55 KIB54:KIB55 KRX54:KRX55 LBT54:LBT55 LLP54:LLP55 LVL54:LVL55 MFH54:MFH55 MPD54:MPD55 MYZ54:MYZ55 NIV54:NIV55 NSR54:NSR55 OCN54:OCN55 OMJ54:OMJ55 OWF54:OWF55 PGB54:PGB55 PPX54:PPX55 PZT54:PZT55 QJP54:QJP55 QTL54:QTL55 RDH54:RDH55 RND54:RND55 RWZ54:RWZ55 SGV54:SGV55 SQR54:SQR55 TAN54:TAN55 TKJ54:TKJ55 TUF54:TUF55 UEB54:UEB55 UNX54:UNX55 UXT54:UXT55 VHP54:VHP55 VRL54:VRL55 WBH54:WBH55 WLD54:WLD55 WUZ54:WUZ55 E65744:E65745 IN65744:IN65745 SJ65744:SJ65745 ACF65744:ACF65745 AMB65744:AMB65745 AVX65744:AVX65745 BFT65744:BFT65745 BPP65744:BPP65745 BZL65744:BZL65745 CJH65744:CJH65745 CTD65744:CTD65745 DCZ65744:DCZ65745 DMV65744:DMV65745 DWR65744:DWR65745 EGN65744:EGN65745 EQJ65744:EQJ65745 FAF65744:FAF65745 FKB65744:FKB65745 FTX65744:FTX65745 GDT65744:GDT65745 GNP65744:GNP65745 GXL65744:GXL65745 HHH65744:HHH65745 HRD65744:HRD65745 IAZ65744:IAZ65745 IKV65744:IKV65745 IUR65744:IUR65745 JEN65744:JEN65745 JOJ65744:JOJ65745 JYF65744:JYF65745 KIB65744:KIB65745 KRX65744:KRX65745 LBT65744:LBT65745 LLP65744:LLP65745 LVL65744:LVL65745 MFH65744:MFH65745 MPD65744:MPD65745 MYZ65744:MYZ65745 NIV65744:NIV65745 NSR65744:NSR65745 OCN65744:OCN65745 OMJ65744:OMJ65745 OWF65744:OWF65745 PGB65744:PGB65745 PPX65744:PPX65745 PZT65744:PZT65745 QJP65744:QJP65745 QTL65744:QTL65745 RDH65744:RDH65745 RND65744:RND65745 RWZ65744:RWZ65745 SGV65744:SGV65745 SQR65744:SQR65745 TAN65744:TAN65745 TKJ65744:TKJ65745 TUF65744:TUF65745 UEB65744:UEB65745 UNX65744:UNX65745 UXT65744:UXT65745 VHP65744:VHP65745 VRL65744:VRL65745 WBH65744:WBH65745 WLD65744:WLD65745 WUZ65744:WUZ65745 E131280:E131281 IN131280:IN131281 SJ131280:SJ131281 ACF131280:ACF131281 AMB131280:AMB131281 AVX131280:AVX131281 BFT131280:BFT131281 BPP131280:BPP131281 BZL131280:BZL131281 CJH131280:CJH131281 CTD131280:CTD131281 DCZ131280:DCZ131281 DMV131280:DMV131281 DWR131280:DWR131281 EGN131280:EGN131281 EQJ131280:EQJ131281 FAF131280:FAF131281 FKB131280:FKB131281 FTX131280:FTX131281 GDT131280:GDT131281 GNP131280:GNP131281 GXL131280:GXL131281 HHH131280:HHH131281 HRD131280:HRD131281 IAZ131280:IAZ131281 IKV131280:IKV131281 IUR131280:IUR131281 JEN131280:JEN131281 JOJ131280:JOJ131281 JYF131280:JYF131281 KIB131280:KIB131281 KRX131280:KRX131281 LBT131280:LBT131281 LLP131280:LLP131281 LVL131280:LVL131281 MFH131280:MFH131281 MPD131280:MPD131281 MYZ131280:MYZ131281 NIV131280:NIV131281 NSR131280:NSR131281 OCN131280:OCN131281 OMJ131280:OMJ131281 OWF131280:OWF131281 PGB131280:PGB131281 PPX131280:PPX131281 PZT131280:PZT131281 QJP131280:QJP131281 QTL131280:QTL131281 RDH131280:RDH131281 RND131280:RND131281 RWZ131280:RWZ131281 SGV131280:SGV131281 SQR131280:SQR131281 TAN131280:TAN131281 TKJ131280:TKJ131281 TUF131280:TUF131281 UEB131280:UEB131281 UNX131280:UNX131281 UXT131280:UXT131281 VHP131280:VHP131281 VRL131280:VRL131281 WBH131280:WBH131281 WLD131280:WLD131281 WUZ131280:WUZ131281 E196816:E196817 IN196816:IN196817 SJ196816:SJ196817 ACF196816:ACF196817 AMB196816:AMB196817 AVX196816:AVX196817 BFT196816:BFT196817 BPP196816:BPP196817 BZL196816:BZL196817 CJH196816:CJH196817 CTD196816:CTD196817 DCZ196816:DCZ196817 DMV196816:DMV196817 DWR196816:DWR196817 EGN196816:EGN196817 EQJ196816:EQJ196817 FAF196816:FAF196817 FKB196816:FKB196817 FTX196816:FTX196817 GDT196816:GDT196817 GNP196816:GNP196817 GXL196816:GXL196817 HHH196816:HHH196817 HRD196816:HRD196817 IAZ196816:IAZ196817 IKV196816:IKV196817 IUR196816:IUR196817 JEN196816:JEN196817 JOJ196816:JOJ196817 JYF196816:JYF196817 KIB196816:KIB196817 KRX196816:KRX196817 LBT196816:LBT196817 LLP196816:LLP196817 LVL196816:LVL196817 MFH196816:MFH196817 MPD196816:MPD196817 MYZ196816:MYZ196817 NIV196816:NIV196817 NSR196816:NSR196817 OCN196816:OCN196817 OMJ196816:OMJ196817 OWF196816:OWF196817 PGB196816:PGB196817 PPX196816:PPX196817 PZT196816:PZT196817 QJP196816:QJP196817 QTL196816:QTL196817 RDH196816:RDH196817 RND196816:RND196817 RWZ196816:RWZ196817 SGV196816:SGV196817 SQR196816:SQR196817 TAN196816:TAN196817 TKJ196816:TKJ196817 TUF196816:TUF196817 UEB196816:UEB196817 UNX196816:UNX196817 UXT196816:UXT196817 VHP196816:VHP196817 VRL196816:VRL196817 WBH196816:WBH196817 WLD196816:WLD196817 WUZ196816:WUZ196817 E262352:E262353 IN262352:IN262353 SJ262352:SJ262353 ACF262352:ACF262353 AMB262352:AMB262353 AVX262352:AVX262353 BFT262352:BFT262353 BPP262352:BPP262353 BZL262352:BZL262353 CJH262352:CJH262353 CTD262352:CTD262353 DCZ262352:DCZ262353 DMV262352:DMV262353 DWR262352:DWR262353 EGN262352:EGN262353 EQJ262352:EQJ262353 FAF262352:FAF262353 FKB262352:FKB262353 FTX262352:FTX262353 GDT262352:GDT262353 GNP262352:GNP262353 GXL262352:GXL262353 HHH262352:HHH262353 HRD262352:HRD262353 IAZ262352:IAZ262353 IKV262352:IKV262353 IUR262352:IUR262353 JEN262352:JEN262353 JOJ262352:JOJ262353 JYF262352:JYF262353 KIB262352:KIB262353 KRX262352:KRX262353 LBT262352:LBT262353 LLP262352:LLP262353 LVL262352:LVL262353 MFH262352:MFH262353 MPD262352:MPD262353 MYZ262352:MYZ262353 NIV262352:NIV262353 NSR262352:NSR262353 OCN262352:OCN262353 OMJ262352:OMJ262353 OWF262352:OWF262353 PGB262352:PGB262353 PPX262352:PPX262353 PZT262352:PZT262353 QJP262352:QJP262353 QTL262352:QTL262353 RDH262352:RDH262353 RND262352:RND262353 RWZ262352:RWZ262353 SGV262352:SGV262353 SQR262352:SQR262353 TAN262352:TAN262353 TKJ262352:TKJ262353 TUF262352:TUF262353 UEB262352:UEB262353 UNX262352:UNX262353 UXT262352:UXT262353 VHP262352:VHP262353 VRL262352:VRL262353 WBH262352:WBH262353 WLD262352:WLD262353 WUZ262352:WUZ262353 E327888:E327889 IN327888:IN327889 SJ327888:SJ327889 ACF327888:ACF327889 AMB327888:AMB327889 AVX327888:AVX327889 BFT327888:BFT327889 BPP327888:BPP327889 BZL327888:BZL327889 CJH327888:CJH327889 CTD327888:CTD327889 DCZ327888:DCZ327889 DMV327888:DMV327889 DWR327888:DWR327889 EGN327888:EGN327889 EQJ327888:EQJ327889 FAF327888:FAF327889 FKB327888:FKB327889 FTX327888:FTX327889 GDT327888:GDT327889 GNP327888:GNP327889 GXL327888:GXL327889 HHH327888:HHH327889 HRD327888:HRD327889 IAZ327888:IAZ327889 IKV327888:IKV327889 IUR327888:IUR327889 JEN327888:JEN327889 JOJ327888:JOJ327889 JYF327888:JYF327889 KIB327888:KIB327889 KRX327888:KRX327889 LBT327888:LBT327889 LLP327888:LLP327889 LVL327888:LVL327889 MFH327888:MFH327889 MPD327888:MPD327889 MYZ327888:MYZ327889 NIV327888:NIV327889 NSR327888:NSR327889 OCN327888:OCN327889 OMJ327888:OMJ327889 OWF327888:OWF327889 PGB327888:PGB327889 PPX327888:PPX327889 PZT327888:PZT327889 QJP327888:QJP327889 QTL327888:QTL327889 RDH327888:RDH327889 RND327888:RND327889 RWZ327888:RWZ327889 SGV327888:SGV327889 SQR327888:SQR327889 TAN327888:TAN327889 TKJ327888:TKJ327889 TUF327888:TUF327889 UEB327888:UEB327889 UNX327888:UNX327889 UXT327888:UXT327889 VHP327888:VHP327889 VRL327888:VRL327889 WBH327888:WBH327889 WLD327888:WLD327889 WUZ327888:WUZ327889 E393424:E393425 IN393424:IN393425 SJ393424:SJ393425 ACF393424:ACF393425 AMB393424:AMB393425 AVX393424:AVX393425 BFT393424:BFT393425 BPP393424:BPP393425 BZL393424:BZL393425 CJH393424:CJH393425 CTD393424:CTD393425 DCZ393424:DCZ393425 DMV393424:DMV393425 DWR393424:DWR393425 EGN393424:EGN393425 EQJ393424:EQJ393425 FAF393424:FAF393425 FKB393424:FKB393425 FTX393424:FTX393425 GDT393424:GDT393425 GNP393424:GNP393425 GXL393424:GXL393425 HHH393424:HHH393425 HRD393424:HRD393425 IAZ393424:IAZ393425 IKV393424:IKV393425 IUR393424:IUR393425 JEN393424:JEN393425 JOJ393424:JOJ393425 JYF393424:JYF393425 KIB393424:KIB393425 KRX393424:KRX393425 LBT393424:LBT393425 LLP393424:LLP393425 LVL393424:LVL393425 MFH393424:MFH393425 MPD393424:MPD393425 MYZ393424:MYZ393425 NIV393424:NIV393425 NSR393424:NSR393425 OCN393424:OCN393425 OMJ393424:OMJ393425 OWF393424:OWF393425 PGB393424:PGB393425 PPX393424:PPX393425 PZT393424:PZT393425 QJP393424:QJP393425 QTL393424:QTL393425 RDH393424:RDH393425 RND393424:RND393425 RWZ393424:RWZ393425 SGV393424:SGV393425 SQR393424:SQR393425 TAN393424:TAN393425 TKJ393424:TKJ393425 TUF393424:TUF393425 UEB393424:UEB393425 UNX393424:UNX393425 UXT393424:UXT393425 VHP393424:VHP393425 VRL393424:VRL393425 WBH393424:WBH393425 WLD393424:WLD393425 WUZ393424:WUZ393425 E458960:E458961 IN458960:IN458961 SJ458960:SJ458961 ACF458960:ACF458961 AMB458960:AMB458961 AVX458960:AVX458961 BFT458960:BFT458961 BPP458960:BPP458961 BZL458960:BZL458961 CJH458960:CJH458961 CTD458960:CTD458961 DCZ458960:DCZ458961 DMV458960:DMV458961 DWR458960:DWR458961 EGN458960:EGN458961 EQJ458960:EQJ458961 FAF458960:FAF458961 FKB458960:FKB458961 FTX458960:FTX458961 GDT458960:GDT458961 GNP458960:GNP458961 GXL458960:GXL458961 HHH458960:HHH458961 HRD458960:HRD458961 IAZ458960:IAZ458961 IKV458960:IKV458961 IUR458960:IUR458961 JEN458960:JEN458961 JOJ458960:JOJ458961 JYF458960:JYF458961 KIB458960:KIB458961 KRX458960:KRX458961 LBT458960:LBT458961 LLP458960:LLP458961 LVL458960:LVL458961 MFH458960:MFH458961 MPD458960:MPD458961 MYZ458960:MYZ458961 NIV458960:NIV458961 NSR458960:NSR458961 OCN458960:OCN458961 OMJ458960:OMJ458961 OWF458960:OWF458961 PGB458960:PGB458961 PPX458960:PPX458961 PZT458960:PZT458961 QJP458960:QJP458961 QTL458960:QTL458961 RDH458960:RDH458961 RND458960:RND458961 RWZ458960:RWZ458961 SGV458960:SGV458961 SQR458960:SQR458961 TAN458960:TAN458961 TKJ458960:TKJ458961 TUF458960:TUF458961 UEB458960:UEB458961 UNX458960:UNX458961 UXT458960:UXT458961 VHP458960:VHP458961 VRL458960:VRL458961 WBH458960:WBH458961 WLD458960:WLD458961 WUZ458960:WUZ458961 E524496:E524497 IN524496:IN524497 SJ524496:SJ524497 ACF524496:ACF524497 AMB524496:AMB524497 AVX524496:AVX524497 BFT524496:BFT524497 BPP524496:BPP524497 BZL524496:BZL524497 CJH524496:CJH524497 CTD524496:CTD524497 DCZ524496:DCZ524497 DMV524496:DMV524497 DWR524496:DWR524497 EGN524496:EGN524497 EQJ524496:EQJ524497 FAF524496:FAF524497 FKB524496:FKB524497 FTX524496:FTX524497 GDT524496:GDT524497 GNP524496:GNP524497 GXL524496:GXL524497 HHH524496:HHH524497 HRD524496:HRD524497 IAZ524496:IAZ524497 IKV524496:IKV524497 IUR524496:IUR524497 JEN524496:JEN524497 JOJ524496:JOJ524497 JYF524496:JYF524497 KIB524496:KIB524497 KRX524496:KRX524497 LBT524496:LBT524497 LLP524496:LLP524497 LVL524496:LVL524497 MFH524496:MFH524497 MPD524496:MPD524497 MYZ524496:MYZ524497 NIV524496:NIV524497 NSR524496:NSR524497 OCN524496:OCN524497 OMJ524496:OMJ524497 OWF524496:OWF524497 PGB524496:PGB524497 PPX524496:PPX524497 PZT524496:PZT524497 QJP524496:QJP524497 QTL524496:QTL524497 RDH524496:RDH524497 RND524496:RND524497 RWZ524496:RWZ524497 SGV524496:SGV524497 SQR524496:SQR524497 TAN524496:TAN524497 TKJ524496:TKJ524497 TUF524496:TUF524497 UEB524496:UEB524497 UNX524496:UNX524497 UXT524496:UXT524497 VHP524496:VHP524497 VRL524496:VRL524497 WBH524496:WBH524497 WLD524496:WLD524497 WUZ524496:WUZ524497 E590032:E590033 IN590032:IN590033 SJ590032:SJ590033 ACF590032:ACF590033 AMB590032:AMB590033 AVX590032:AVX590033 BFT590032:BFT590033 BPP590032:BPP590033 BZL590032:BZL590033 CJH590032:CJH590033 CTD590032:CTD590033 DCZ590032:DCZ590033 DMV590032:DMV590033 DWR590032:DWR590033 EGN590032:EGN590033 EQJ590032:EQJ590033 FAF590032:FAF590033 FKB590032:FKB590033 FTX590032:FTX590033 GDT590032:GDT590033 GNP590032:GNP590033 GXL590032:GXL590033 HHH590032:HHH590033 HRD590032:HRD590033 IAZ590032:IAZ590033 IKV590032:IKV590033 IUR590032:IUR590033 JEN590032:JEN590033 JOJ590032:JOJ590033 JYF590032:JYF590033 KIB590032:KIB590033 KRX590032:KRX590033 LBT590032:LBT590033 LLP590032:LLP590033 LVL590032:LVL590033 MFH590032:MFH590033 MPD590032:MPD590033 MYZ590032:MYZ590033 NIV590032:NIV590033 NSR590032:NSR590033 OCN590032:OCN590033 OMJ590032:OMJ590033 OWF590032:OWF590033 PGB590032:PGB590033 PPX590032:PPX590033 PZT590032:PZT590033 QJP590032:QJP590033 QTL590032:QTL590033 RDH590032:RDH590033 RND590032:RND590033 RWZ590032:RWZ590033 SGV590032:SGV590033 SQR590032:SQR590033 TAN590032:TAN590033 TKJ590032:TKJ590033 TUF590032:TUF590033 UEB590032:UEB590033 UNX590032:UNX590033 UXT590032:UXT590033 VHP590032:VHP590033 VRL590032:VRL590033 WBH590032:WBH590033 WLD590032:WLD590033 WUZ590032:WUZ590033 E655568:E655569 IN655568:IN655569 SJ655568:SJ655569 ACF655568:ACF655569 AMB655568:AMB655569 AVX655568:AVX655569 BFT655568:BFT655569 BPP655568:BPP655569 BZL655568:BZL655569 CJH655568:CJH655569 CTD655568:CTD655569 DCZ655568:DCZ655569 DMV655568:DMV655569 DWR655568:DWR655569 EGN655568:EGN655569 EQJ655568:EQJ655569 FAF655568:FAF655569 FKB655568:FKB655569 FTX655568:FTX655569 GDT655568:GDT655569 GNP655568:GNP655569 GXL655568:GXL655569 HHH655568:HHH655569 HRD655568:HRD655569 IAZ655568:IAZ655569 IKV655568:IKV655569 IUR655568:IUR655569 JEN655568:JEN655569 JOJ655568:JOJ655569 JYF655568:JYF655569 KIB655568:KIB655569 KRX655568:KRX655569 LBT655568:LBT655569 LLP655568:LLP655569 LVL655568:LVL655569 MFH655568:MFH655569 MPD655568:MPD655569 MYZ655568:MYZ655569 NIV655568:NIV655569 NSR655568:NSR655569 OCN655568:OCN655569 OMJ655568:OMJ655569 OWF655568:OWF655569 PGB655568:PGB655569 PPX655568:PPX655569 PZT655568:PZT655569 QJP655568:QJP655569 QTL655568:QTL655569 RDH655568:RDH655569 RND655568:RND655569 RWZ655568:RWZ655569 SGV655568:SGV655569 SQR655568:SQR655569 TAN655568:TAN655569 TKJ655568:TKJ655569 TUF655568:TUF655569 UEB655568:UEB655569 UNX655568:UNX655569 UXT655568:UXT655569 VHP655568:VHP655569 VRL655568:VRL655569 WBH655568:WBH655569 WLD655568:WLD655569 WUZ655568:WUZ655569 E721104:E721105 IN721104:IN721105 SJ721104:SJ721105 ACF721104:ACF721105 AMB721104:AMB721105 AVX721104:AVX721105 BFT721104:BFT721105 BPP721104:BPP721105 BZL721104:BZL721105 CJH721104:CJH721105 CTD721104:CTD721105 DCZ721104:DCZ721105 DMV721104:DMV721105 DWR721104:DWR721105 EGN721104:EGN721105 EQJ721104:EQJ721105 FAF721104:FAF721105 FKB721104:FKB721105 FTX721104:FTX721105 GDT721104:GDT721105 GNP721104:GNP721105 GXL721104:GXL721105 HHH721104:HHH721105 HRD721104:HRD721105 IAZ721104:IAZ721105 IKV721104:IKV721105 IUR721104:IUR721105 JEN721104:JEN721105 JOJ721104:JOJ721105 JYF721104:JYF721105 KIB721104:KIB721105 KRX721104:KRX721105 LBT721104:LBT721105 LLP721104:LLP721105 LVL721104:LVL721105 MFH721104:MFH721105 MPD721104:MPD721105 MYZ721104:MYZ721105 NIV721104:NIV721105 NSR721104:NSR721105 OCN721104:OCN721105 OMJ721104:OMJ721105 OWF721104:OWF721105 PGB721104:PGB721105 PPX721104:PPX721105 PZT721104:PZT721105 QJP721104:QJP721105 QTL721104:QTL721105 RDH721104:RDH721105 RND721104:RND721105 RWZ721104:RWZ721105 SGV721104:SGV721105 SQR721104:SQR721105 TAN721104:TAN721105 TKJ721104:TKJ721105 TUF721104:TUF721105 UEB721104:UEB721105 UNX721104:UNX721105 UXT721104:UXT721105 VHP721104:VHP721105 VRL721104:VRL721105 WBH721104:WBH721105 WLD721104:WLD721105 WUZ721104:WUZ721105 E786640:E786641 IN786640:IN786641 SJ786640:SJ786641 ACF786640:ACF786641 AMB786640:AMB786641 AVX786640:AVX786641 BFT786640:BFT786641 BPP786640:BPP786641 BZL786640:BZL786641 CJH786640:CJH786641 CTD786640:CTD786641 DCZ786640:DCZ786641 DMV786640:DMV786641 DWR786640:DWR786641 EGN786640:EGN786641 EQJ786640:EQJ786641 FAF786640:FAF786641 FKB786640:FKB786641 FTX786640:FTX786641 GDT786640:GDT786641 GNP786640:GNP786641 GXL786640:GXL786641 HHH786640:HHH786641 HRD786640:HRD786641 IAZ786640:IAZ786641 IKV786640:IKV786641 IUR786640:IUR786641 JEN786640:JEN786641 JOJ786640:JOJ786641 JYF786640:JYF786641 KIB786640:KIB786641 KRX786640:KRX786641 LBT786640:LBT786641 LLP786640:LLP786641 LVL786640:LVL786641 MFH786640:MFH786641 MPD786640:MPD786641 MYZ786640:MYZ786641 NIV786640:NIV786641 NSR786640:NSR786641 OCN786640:OCN786641 OMJ786640:OMJ786641 OWF786640:OWF786641 PGB786640:PGB786641 PPX786640:PPX786641 PZT786640:PZT786641 QJP786640:QJP786641 QTL786640:QTL786641 RDH786640:RDH786641 RND786640:RND786641 RWZ786640:RWZ786641 SGV786640:SGV786641 SQR786640:SQR786641 TAN786640:TAN786641 TKJ786640:TKJ786641 TUF786640:TUF786641 UEB786640:UEB786641 UNX786640:UNX786641 UXT786640:UXT786641 VHP786640:VHP786641 VRL786640:VRL786641 WBH786640:WBH786641 WLD786640:WLD786641 WUZ786640:WUZ786641 E852176:E852177 IN852176:IN852177 SJ852176:SJ852177 ACF852176:ACF852177 AMB852176:AMB852177 AVX852176:AVX852177 BFT852176:BFT852177 BPP852176:BPP852177 BZL852176:BZL852177 CJH852176:CJH852177 CTD852176:CTD852177 DCZ852176:DCZ852177 DMV852176:DMV852177 DWR852176:DWR852177 EGN852176:EGN852177 EQJ852176:EQJ852177 FAF852176:FAF852177 FKB852176:FKB852177 FTX852176:FTX852177 GDT852176:GDT852177 GNP852176:GNP852177 GXL852176:GXL852177 HHH852176:HHH852177 HRD852176:HRD852177 IAZ852176:IAZ852177 IKV852176:IKV852177 IUR852176:IUR852177 JEN852176:JEN852177 JOJ852176:JOJ852177 JYF852176:JYF852177 KIB852176:KIB852177 KRX852176:KRX852177 LBT852176:LBT852177 LLP852176:LLP852177 LVL852176:LVL852177 MFH852176:MFH852177 MPD852176:MPD852177 MYZ852176:MYZ852177 NIV852176:NIV852177 NSR852176:NSR852177 OCN852176:OCN852177 OMJ852176:OMJ852177 OWF852176:OWF852177 PGB852176:PGB852177 PPX852176:PPX852177 PZT852176:PZT852177 QJP852176:QJP852177 QTL852176:QTL852177 RDH852176:RDH852177 RND852176:RND852177 RWZ852176:RWZ852177 SGV852176:SGV852177 SQR852176:SQR852177 TAN852176:TAN852177 TKJ852176:TKJ852177 TUF852176:TUF852177 UEB852176:UEB852177 UNX852176:UNX852177 UXT852176:UXT852177 VHP852176:VHP852177 VRL852176:VRL852177 WBH852176:WBH852177 WLD852176:WLD852177 WUZ852176:WUZ852177 E917712:E917713 IN917712:IN917713 SJ917712:SJ917713 ACF917712:ACF917713 AMB917712:AMB917713 AVX917712:AVX917713 BFT917712:BFT917713 BPP917712:BPP917713 BZL917712:BZL917713 CJH917712:CJH917713 CTD917712:CTD917713 DCZ917712:DCZ917713 DMV917712:DMV917713 DWR917712:DWR917713 EGN917712:EGN917713 EQJ917712:EQJ917713 FAF917712:FAF917713 FKB917712:FKB917713 FTX917712:FTX917713 GDT917712:GDT917713 GNP917712:GNP917713 GXL917712:GXL917713 HHH917712:HHH917713 HRD917712:HRD917713 IAZ917712:IAZ917713 IKV917712:IKV917713 IUR917712:IUR917713 JEN917712:JEN917713 JOJ917712:JOJ917713 JYF917712:JYF917713 KIB917712:KIB917713 KRX917712:KRX917713 LBT917712:LBT917713 LLP917712:LLP917713 LVL917712:LVL917713 MFH917712:MFH917713 MPD917712:MPD917713 MYZ917712:MYZ917713 NIV917712:NIV917713 NSR917712:NSR917713 OCN917712:OCN917713 OMJ917712:OMJ917713 OWF917712:OWF917713 PGB917712:PGB917713 PPX917712:PPX917713 PZT917712:PZT917713 QJP917712:QJP917713 QTL917712:QTL917713 RDH917712:RDH917713 RND917712:RND917713 RWZ917712:RWZ917713 SGV917712:SGV917713 SQR917712:SQR917713 TAN917712:TAN917713 TKJ917712:TKJ917713 TUF917712:TUF917713 UEB917712:UEB917713 UNX917712:UNX917713 UXT917712:UXT917713 VHP917712:VHP917713 VRL917712:VRL917713 WBH917712:WBH917713 WLD917712:WLD917713 WUZ917712:WUZ917713 E983248:E983249 IN983248:IN983249 SJ983248:SJ983249 ACF983248:ACF983249 AMB983248:AMB983249 AVX983248:AVX983249 BFT983248:BFT983249 BPP983248:BPP983249 BZL983248:BZL983249 CJH983248:CJH983249 CTD983248:CTD983249 DCZ983248:DCZ983249 DMV983248:DMV983249 DWR983248:DWR983249 EGN983248:EGN983249 EQJ983248:EQJ983249 FAF983248:FAF983249 FKB983248:FKB983249 FTX983248:FTX983249 GDT983248:GDT983249 GNP983248:GNP983249 GXL983248:GXL983249 HHH983248:HHH983249 HRD983248:HRD983249 IAZ983248:IAZ983249 IKV983248:IKV983249 IUR983248:IUR983249 JEN983248:JEN983249 JOJ983248:JOJ983249 JYF983248:JYF983249 KIB983248:KIB983249 KRX983248:KRX983249 LBT983248:LBT983249 LLP983248:LLP983249 LVL983248:LVL983249 MFH983248:MFH983249 MPD983248:MPD983249 MYZ983248:MYZ983249 NIV983248:NIV983249 NSR983248:NSR983249 OCN983248:OCN983249 OMJ983248:OMJ983249 OWF983248:OWF983249 PGB983248:PGB983249 PPX983248:PPX983249 PZT983248:PZT983249 QJP983248:QJP983249 QTL983248:QTL983249 RDH983248:RDH983249 RND983248:RND983249 RWZ983248:RWZ983249 SGV983248:SGV983249 SQR983248:SQR983249 TAN983248:TAN983249 TKJ983248:TKJ983249 TUF983248:TUF983249 UEB983248:UEB983249 UNX983248:UNX983249 UXT983248:UXT983249 VHP983248:VHP983249 VRL983248:VRL983249 WBH983248:WBH983249 WLD983248:WLD983249 WUZ983248:WUZ983249 E37 E47:E48 E26:E32" xr:uid="{00000000-0002-0000-0000-000013000000}"/>
    <dataValidation type="list" allowBlank="1" showInputMessage="1" showErrorMessage="1" sqref="D208" xr:uid="{00000000-0002-0000-0000-000014000000}">
      <formula1>$D$210:$D$220</formula1>
    </dataValidation>
    <dataValidation allowBlank="1" showDropDown="1" showInputMessage="1" showErrorMessage="1" sqref="B304" xr:uid="{00000000-0002-0000-0000-000015000000}"/>
    <dataValidation type="decimal" errorStyle="warning" allowBlank="1" showInputMessage="1" showErrorMessage="1" errorTitle="Extreme Value" error="Please verify the value is correct, note the units are μH, pF, and MHz." sqref="C295:C296" xr:uid="{00000000-0002-0000-0000-000016000000}">
      <formula1>0.001</formula1>
      <formula2>1000000</formula2>
    </dataValidation>
    <dataValidation type="decimal" operator="greaterThan" allowBlank="1" showInputMessage="1" showErrorMessage="1" sqref="C300:C302" xr:uid="{00000000-0002-0000-0000-000017000000}">
      <formula1>0</formula1>
    </dataValidation>
    <dataValidation type="list" allowBlank="1" showInputMessage="1" showErrorMessage="1" sqref="B303" xr:uid="{00000000-0002-0000-0000-000018000000}">
      <formula1>"Rs,Rp"</formula1>
    </dataValidation>
    <dataValidation type="list" allowBlank="1" showInputMessage="1" showErrorMessage="1" sqref="B297" xr:uid="{00000000-0002-0000-0000-000019000000}">
      <formula1>"fsensor,L,C"</formula1>
    </dataValidation>
    <dataValidation type="decimal" allowBlank="1" showInputMessage="1" showErrorMessage="1" errorTitle="Invalid" error="The permitted range of values is 0.0001 to 1000. " sqref="D221" xr:uid="{00000000-0002-0000-0000-00001A000000}">
      <formula1>0.0001</formula1>
      <formula2>1000</formula2>
    </dataValidation>
    <dataValidation type="decimal" allowBlank="1" showInputMessage="1" showErrorMessage="1" sqref="D222" xr:uid="{00000000-0002-0000-0000-00001B000000}">
      <formula1>0</formula1>
      <formula2>1000</formula2>
    </dataValidation>
  </dataValidations>
  <hyperlinks>
    <hyperlink ref="E15" r:id="rId1" xr:uid="{00000000-0004-0000-00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1" r:id="rId5" name="Button 17">
              <controlPr defaultSize="0" print="0" autoFill="0" autoPict="0" macro="[0]!run_FEMM">
                <anchor moveWithCells="1" sizeWithCells="1">
                  <from>
                    <xdr:col>5</xdr:col>
                    <xdr:colOff>342900</xdr:colOff>
                    <xdr:row>247</xdr:row>
                    <xdr:rowOff>104775</xdr:rowOff>
                  </from>
                  <to>
                    <xdr:col>5</xdr:col>
                    <xdr:colOff>2162175</xdr:colOff>
                    <xdr:row>273</xdr:row>
                    <xdr:rowOff>123825</xdr:rowOff>
                  </to>
                </anchor>
              </controlPr>
            </control>
          </mc:Choice>
        </mc:AlternateContent>
        <mc:AlternateContent xmlns:mc="http://schemas.openxmlformats.org/markup-compatibility/2006">
          <mc:Choice Requires="x14">
            <control shapeId="1045" r:id="rId6" name="Check Box 21">
              <controlPr defaultSize="0" autoFill="0" autoLine="0" autoPict="0">
                <anchor moveWithCells="1">
                  <from>
                    <xdr:col>5</xdr:col>
                    <xdr:colOff>352425</xdr:colOff>
                    <xdr:row>274</xdr:row>
                    <xdr:rowOff>66675</xdr:rowOff>
                  </from>
                  <to>
                    <xdr:col>5</xdr:col>
                    <xdr:colOff>2162175</xdr:colOff>
                    <xdr:row>275</xdr:row>
                    <xdr:rowOff>85725</xdr:rowOff>
                  </to>
                </anchor>
              </controlPr>
            </control>
          </mc:Choice>
        </mc:AlternateContent>
        <mc:AlternateContent xmlns:mc="http://schemas.openxmlformats.org/markup-compatibility/2006">
          <mc:Choice Requires="x14">
            <control shapeId="1046" r:id="rId7" name="Check Box 22">
              <controlPr defaultSize="0" autoFill="0" autoLine="0" autoPict="0">
                <anchor moveWithCells="1">
                  <from>
                    <xdr:col>5</xdr:col>
                    <xdr:colOff>352425</xdr:colOff>
                    <xdr:row>275</xdr:row>
                    <xdr:rowOff>104775</xdr:rowOff>
                  </from>
                  <to>
                    <xdr:col>5</xdr:col>
                    <xdr:colOff>1590675</xdr:colOff>
                    <xdr:row>276</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6:F40"/>
  <sheetViews>
    <sheetView workbookViewId="0">
      <selection activeCell="E28" sqref="E28"/>
    </sheetView>
  </sheetViews>
  <sheetFormatPr defaultRowHeight="15" x14ac:dyDescent="0.25"/>
  <cols>
    <col min="3" max="3" width="21.140625" customWidth="1"/>
    <col min="5" max="5" width="10.85546875" bestFit="1" customWidth="1"/>
  </cols>
  <sheetData>
    <row r="6" spans="5:6" ht="14.45" x14ac:dyDescent="0.35">
      <c r="E6">
        <v>5.7000000000000003E-5</v>
      </c>
      <c r="F6" t="s">
        <v>344</v>
      </c>
    </row>
    <row r="7" spans="5:6" ht="14.45" x14ac:dyDescent="0.35">
      <c r="E7">
        <v>100</v>
      </c>
      <c r="F7" t="s">
        <v>346</v>
      </c>
    </row>
    <row r="8" spans="5:6" ht="14.45" x14ac:dyDescent="0.35">
      <c r="E8">
        <f>E7*E6</f>
        <v>5.7000000000000002E-3</v>
      </c>
      <c r="F8" t="s">
        <v>345</v>
      </c>
    </row>
    <row r="9" spans="5:6" ht="14.45" x14ac:dyDescent="0.35">
      <c r="E9">
        <f>1/E8</f>
        <v>175.43859649122805</v>
      </c>
      <c r="F9" t="s">
        <v>347</v>
      </c>
    </row>
    <row r="17" spans="3:5" x14ac:dyDescent="0.25">
      <c r="C17" t="s">
        <v>343</v>
      </c>
    </row>
    <row r="18" spans="3:5" x14ac:dyDescent="0.25">
      <c r="C18" s="217" t="s">
        <v>97</v>
      </c>
      <c r="D18">
        <v>3.3185564969440384</v>
      </c>
      <c r="E18">
        <v>3.16859</v>
      </c>
    </row>
    <row r="19" spans="3:5" x14ac:dyDescent="0.25">
      <c r="C19" s="217" t="s">
        <v>244</v>
      </c>
      <c r="D19">
        <v>3.3133044907510896</v>
      </c>
    </row>
    <row r="20" spans="3:5" x14ac:dyDescent="0.25">
      <c r="C20" s="217" t="s">
        <v>249</v>
      </c>
      <c r="D20">
        <v>27.159778267581647</v>
      </c>
    </row>
    <row r="21" spans="3:5" ht="15.75" x14ac:dyDescent="0.25">
      <c r="C21" s="124" t="s">
        <v>332</v>
      </c>
      <c r="D21">
        <v>5.8374277000851356</v>
      </c>
      <c r="E21">
        <v>5.9739708461052716</v>
      </c>
    </row>
    <row r="22" spans="3:5" ht="15.75" x14ac:dyDescent="0.25">
      <c r="C22" s="26" t="s">
        <v>341</v>
      </c>
      <c r="D22">
        <v>1E-3</v>
      </c>
    </row>
    <row r="23" spans="3:5" ht="15.75" x14ac:dyDescent="0.25">
      <c r="C23" s="26" t="s">
        <v>342</v>
      </c>
      <c r="D23">
        <v>5.8381898801003826</v>
      </c>
    </row>
    <row r="24" spans="3:5" ht="15.75" x14ac:dyDescent="0.25">
      <c r="C24" s="26" t="s">
        <v>335</v>
      </c>
      <c r="D24">
        <v>130.56778677296495</v>
      </c>
    </row>
    <row r="30" spans="3:5" x14ac:dyDescent="0.25">
      <c r="C30" s="226">
        <v>16000000</v>
      </c>
    </row>
    <row r="31" spans="3:5" x14ac:dyDescent="0.25">
      <c r="C31" s="226">
        <v>2000</v>
      </c>
    </row>
    <row r="32" spans="3:5" x14ac:dyDescent="0.25">
      <c r="C32" s="226">
        <f>C30/C31</f>
        <v>8000</v>
      </c>
    </row>
    <row r="33" spans="3:3" x14ac:dyDescent="0.25">
      <c r="C33" s="227">
        <f>C32/16</f>
        <v>500</v>
      </c>
    </row>
    <row r="34" spans="3:3" x14ac:dyDescent="0.25">
      <c r="C34" t="str">
        <f>DEC2HEX(C33)</f>
        <v>1F4</v>
      </c>
    </row>
    <row r="37" spans="3:3" x14ac:dyDescent="0.25">
      <c r="C37">
        <v>400</v>
      </c>
    </row>
    <row r="38" spans="3:3" x14ac:dyDescent="0.25">
      <c r="C38">
        <f>HEX2DEC("400")</f>
        <v>1024</v>
      </c>
    </row>
    <row r="39" spans="3:3" x14ac:dyDescent="0.25">
      <c r="C39">
        <f>C38*16</f>
        <v>16384</v>
      </c>
    </row>
    <row r="40" spans="3:3" x14ac:dyDescent="0.25">
      <c r="C40">
        <f>16000000/C39</f>
        <v>976.5625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Spiral_Inductor_Designer</vt:lpstr>
      <vt:lpstr>Sheet1</vt:lpstr>
    </vt:vector>
  </TitlesOfParts>
  <Company>Texas Instruments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Oberhauser</dc:creator>
  <cp:lastModifiedBy>Beigel, Justin</cp:lastModifiedBy>
  <dcterms:created xsi:type="dcterms:W3CDTF">2018-05-02T17:07:44Z</dcterms:created>
  <dcterms:modified xsi:type="dcterms:W3CDTF">2021-08-19T19:35:26Z</dcterms:modified>
</cp:coreProperties>
</file>